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83573016-B70A-4D44-B7F4-2227178F6C1D}" xr6:coauthVersionLast="46" xr6:coauthVersionMax="46" xr10:uidLastSave="{00000000-0000-0000-0000-000000000000}"/>
  <bookViews>
    <workbookView xWindow="1650" yWindow="345" windowWidth="27495" windowHeight="15480" xr2:uid="{64DEC2DF-01F5-4665-8414-837A5B1CAB8E}"/>
  </bookViews>
  <sheets>
    <sheet name="11.08.2026" sheetId="1622" r:id="rId1"/>
    <sheet name="11.08.2026_min_max" sheetId="1621" r:id="rId2"/>
    <sheet name="10.08.2026" sheetId="1620" r:id="rId3"/>
    <sheet name="10.08.2026_min_max " sheetId="1619" r:id="rId4"/>
  </sheets>
  <definedNames>
    <definedName name="_xlnm._FilterDatabase" localSheetId="2" hidden="1">'10.08.2026'!$A$89:$I$130</definedName>
    <definedName name="_xlnm._FilterDatabase" localSheetId="3" hidden="1">'10.08.2026_min_max '!$A$10:$N$107</definedName>
    <definedName name="_xlnm._FilterDatabase" localSheetId="0" hidden="1">'11.08.2026'!$A$89:$I$126</definedName>
    <definedName name="_xlnm._FilterDatabase" localSheetId="1" hidden="1">'11.08.2026_min_max'!$A$10:$N$107</definedName>
    <definedName name="OLE_LINK3" localSheetId="2">'10.08.2026'!$A$44</definedName>
    <definedName name="OLE_LINK3" localSheetId="3">'10.08.2026_min_max '!#REF!</definedName>
    <definedName name="OLE_LINK3" localSheetId="0">'11.08.2026'!$A$44</definedName>
    <definedName name="OLE_LINK3" localSheetId="1">'11.08.2026_min_max'!#REF!</definedName>
  </definedNames>
  <calcPr calcId="191029"/>
</workbook>
</file>

<file path=xl/calcChain.xml><?xml version="1.0" encoding="utf-8"?>
<calcChain xmlns="http://schemas.openxmlformats.org/spreadsheetml/2006/main">
  <c r="F13" i="1622" l="1"/>
  <c r="F14" i="1622"/>
  <c r="F15" i="1622"/>
  <c r="F16" i="1622"/>
  <c r="F17" i="1622"/>
  <c r="F18" i="1622"/>
  <c r="F19" i="1622"/>
  <c r="F20" i="1622"/>
  <c r="F21" i="1622"/>
  <c r="F12" i="1622"/>
</calcChain>
</file>

<file path=xl/sharedStrings.xml><?xml version="1.0" encoding="utf-8"?>
<sst xmlns="http://schemas.openxmlformats.org/spreadsheetml/2006/main" count="2524" uniqueCount="160">
  <si>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</si>
  <si>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</si>
  <si>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</si>
  <si>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</si>
  <si>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</si>
  <si>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</si>
  <si>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</si>
  <si>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</si>
  <si>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</si>
  <si>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</si>
  <si>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</si>
  <si>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</si>
  <si>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</si>
  <si>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</si>
  <si>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</si>
  <si>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</si>
  <si>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</si>
  <si>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</si>
  <si>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</si>
  <si>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</si>
  <si>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</si>
  <si>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</si>
  <si>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</si>
  <si>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</si>
  <si>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</si>
  <si>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</si>
  <si>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</si>
  <si>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</si>
  <si>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</si>
  <si>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</si>
  <si>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</si>
  <si>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</si>
  <si>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</si>
  <si>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</si>
  <si>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</si>
  <si>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</si>
  <si>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</si>
  <si>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</si>
  <si>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</si>
  <si>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</si>
  <si>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</si>
  <si>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</si>
  <si>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</si>
  <si>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</si>
  <si>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</si>
  <si>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</si>
  <si>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</si>
  <si>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</si>
  <si>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</si>
  <si>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</si>
  <si>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</si>
  <si>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</si>
  <si>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</si>
  <si>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</si>
  <si>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</si>
  <si>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</si>
  <si>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</si>
  <si>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</si>
  <si>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</si>
  <si>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</si>
  <si>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</si>
  <si>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</si>
  <si>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</si>
  <si>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</si>
  <si>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</si>
  <si>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</si>
  <si>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</si>
  <si>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</si>
  <si>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</si>
  <si>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</si>
  <si>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</si>
  <si>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</si>
  <si>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</si>
  <si>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</si>
  <si>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</si>
  <si>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</si>
  <si>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</si>
  <si>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</si>
  <si>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</si>
  <si>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</si>
  <si>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</si>
  <si>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</si>
  <si>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</si>
  <si>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</si>
  <si>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</si>
  <si>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</si>
  <si>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</si>
  <si>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</si>
  <si>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</si>
  <si>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</si>
  <si>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</si>
  <si>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</si>
  <si>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</si>
  <si>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</si>
  <si>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</si>
  <si>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</si>
  <si>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</si>
  <si>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</si>
  <si>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</si>
  <si>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</si>
  <si>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</si>
  <si>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</si>
  <si>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</si>
  <si>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</si>
  <si>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</si>
  <si>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</si>
  <si>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</si>
  <si>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</si>
  <si>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</si>
  <si>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</si>
  <si>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</si>
  <si>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</si>
  <si>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</si>
  <si>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</si>
  <si>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</si>
  <si>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</si>
  <si>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</si>
  <si>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</si>
  <si>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</si>
  <si>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</si>
  <si>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</si>
  <si>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</si>
  <si>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</si>
  <si>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</si>
  <si>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</si>
  <si>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</si>
  <si>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</si>
  <si>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</si>
  <si>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</si>
  <si>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</si>
  <si>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</si>
  <si>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</si>
  <si>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</si>
  <si>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</si>
  <si>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</si>
  <si>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</si>
  <si>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</si>
  <si>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</si>
  <si>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</si>
  <si>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</si>
  <si>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2026/27</t>
  </si>
  <si>
    <t>August</t>
  </si>
  <si>
    <t>Izmail</t>
  </si>
  <si>
    <t>Ukraine, Izmail</t>
  </si>
  <si>
    <t>EUR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</si>
  <si>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</si>
  <si>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</si>
  <si>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</si>
  <si>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</si>
  <si>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</si>
  <si>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</si>
  <si>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</si>
  <si>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</si>
  <si>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</si>
  <si>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</si>
  <si>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</si>
  <si>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 xml:space="preserve">FOB, EUR/mt </t>
  </si>
  <si>
    <t>Russia, Vesper Price Index</t>
  </si>
  <si>
    <t>September</t>
  </si>
  <si>
    <t>Sep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</si>
</sst>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27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164" fontId="18" fillId="0" borderId="3" xfId="10" applyNumberFormat="1" applyFont="1" applyAlignment="1">
      <alignment horizontal="center" vertical="center" wrapText="1"/>
    </xf>
    <xf numFmtId="164" fontId="21" fillId="0" borderId="3" xfId="10" applyNumberFormat="1" applyFont="1">
      <alignment horizontal="center" vertical="center" wrapText="1"/>
    </xf>
    <xf numFmtId="164" fontId="23" fillId="0" borderId="3" xfId="10" applyNumberFormat="1" applyFont="1" applyAlignment="1">
      <alignment horizontal="center" vertical="center" wrapText="1"/>
    </xf>
    <xf numFmtId="164" fontId="24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92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F225C-97E1-43BC-938B-3BCADF82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18867"/>
          <a:ext cx="8400211" cy="1118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2ADA112-785C-42DD-9E1D-4C8BE3E25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91239-87C3-48AE-98A9-670B1B45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2BF3E76-66BC-47D1-98F7-FB8284B10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B3877A-70EF-4F1C-AF27-BA66C357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95445"/>
          <a:ext cx="8407737" cy="1131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F79565C-7222-41D2-A1E6-F2D9DFA0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97D8D-70E6-447A-BA0C-E7636CBF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7122091-90C0-4D8E-8E9E-F3D23B97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AF41-D6C2-4C55-8DE8-61D4AAB7BBF7}">
  <sheetPr>
    <pageSetUpPr fitToPage="1"/>
  </sheetPr>
  <dimension ref="A9:W130"/>
  <sheetViews>
    <sheetView showGridLines="0" tabSelected="1" zoomScale="81" zoomScaleNormal="81" workbookViewId="0">
      <selection activeCell="B98" sqref="B98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46244</v>
      </c>
      <c r="B12" s="8" t="s">
        <v>132</v>
      </c>
      <c r="C12" s="8" t="s">
        <v>10</v>
      </c>
      <c r="D12" s="8" t="s">
        <v>133</v>
      </c>
      <c r="E12" s="12">
        <v>252.5</v>
      </c>
      <c r="F12" s="17">
        <f>E12-'10.08.2026'!E12</f>
        <v>-4</v>
      </c>
      <c r="G12" s="17">
        <v>-8</v>
      </c>
      <c r="H12" s="17">
        <v>-4.5</v>
      </c>
      <c r="I12" s="17">
        <v>-6</v>
      </c>
      <c r="K12" s="13"/>
    </row>
    <row r="13" spans="1:21" customFormat="1" x14ac:dyDescent="0.3">
      <c r="A13" s="7">
        <v>46244</v>
      </c>
      <c r="B13" s="8" t="s">
        <v>12</v>
      </c>
      <c r="C13" s="8" t="s">
        <v>13</v>
      </c>
      <c r="D13" s="8" t="s">
        <v>14</v>
      </c>
      <c r="E13" s="12">
        <v>249.25</v>
      </c>
      <c r="F13" s="17">
        <f>E13-'10.08.2026'!E13</f>
        <v>1</v>
      </c>
      <c r="G13" s="17">
        <v>0.25</v>
      </c>
      <c r="H13" s="17">
        <v>19.75</v>
      </c>
      <c r="I13" s="17">
        <v>42.25</v>
      </c>
      <c r="K13" s="13"/>
    </row>
    <row r="14" spans="1:21" customFormat="1" x14ac:dyDescent="0.3">
      <c r="A14" s="7">
        <v>46244</v>
      </c>
      <c r="B14" s="8" t="s">
        <v>12</v>
      </c>
      <c r="C14" s="8" t="s">
        <v>10</v>
      </c>
      <c r="D14" s="8" t="s">
        <v>15</v>
      </c>
      <c r="E14" s="12">
        <v>438.2</v>
      </c>
      <c r="F14" s="17">
        <f>E14-'10.08.2026'!E14</f>
        <v>-0.80000000000001137</v>
      </c>
      <c r="G14" s="17">
        <v>-11</v>
      </c>
      <c r="H14" s="17">
        <v>-44.4</v>
      </c>
      <c r="I14" s="17">
        <v>-8.4</v>
      </c>
      <c r="K14" s="13"/>
    </row>
    <row r="15" spans="1:21" customFormat="1" x14ac:dyDescent="0.3">
      <c r="A15" s="7">
        <v>46244</v>
      </c>
      <c r="B15" s="8" t="s">
        <v>16</v>
      </c>
      <c r="C15" s="8" t="s">
        <v>10</v>
      </c>
      <c r="D15" s="8" t="s">
        <v>15</v>
      </c>
      <c r="E15" s="12">
        <v>640.4</v>
      </c>
      <c r="F15" s="17">
        <f>E15-'10.08.2026'!E15</f>
        <v>0.79999999999995453</v>
      </c>
      <c r="G15" s="17">
        <v>-10.6</v>
      </c>
      <c r="H15" s="17">
        <v>-58</v>
      </c>
      <c r="I15" s="17">
        <v>32.799999999999997</v>
      </c>
      <c r="K15" s="13"/>
    </row>
    <row r="16" spans="1:21" x14ac:dyDescent="0.3">
      <c r="A16" s="7">
        <v>46244</v>
      </c>
      <c r="B16" s="8" t="s">
        <v>17</v>
      </c>
      <c r="C16" s="8" t="s">
        <v>13</v>
      </c>
      <c r="D16" s="8" t="s">
        <v>14</v>
      </c>
      <c r="E16" s="12">
        <v>217.75</v>
      </c>
      <c r="F16" s="17">
        <f>E16-'10.08.2026'!E16</f>
        <v>-5.25</v>
      </c>
      <c r="G16" s="17">
        <v>-8</v>
      </c>
      <c r="H16" s="17">
        <v>-14</v>
      </c>
      <c r="I16" s="17">
        <v>-2.75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46244</v>
      </c>
      <c r="B17" s="8" t="s">
        <v>18</v>
      </c>
      <c r="C17" s="8" t="s">
        <v>10</v>
      </c>
      <c r="D17" s="8" t="s">
        <v>11</v>
      </c>
      <c r="E17" s="12">
        <v>286.75</v>
      </c>
      <c r="F17" s="17">
        <f>E17-'10.08.2026'!E17</f>
        <v>0</v>
      </c>
      <c r="G17" s="17">
        <v>0.75</v>
      </c>
      <c r="H17" s="17">
        <v>16.25</v>
      </c>
      <c r="I17" s="17">
        <v>23.75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46244</v>
      </c>
      <c r="B18" s="8" t="s">
        <v>19</v>
      </c>
      <c r="C18" s="8" t="s">
        <v>13</v>
      </c>
      <c r="D18" s="8" t="s">
        <v>14</v>
      </c>
      <c r="E18" s="12">
        <v>538.75</v>
      </c>
      <c r="F18" s="17">
        <f>E18-'10.08.2026'!E18</f>
        <v>5.5</v>
      </c>
      <c r="G18" s="17">
        <v>15.25</v>
      </c>
      <c r="H18" s="17">
        <v>42.25</v>
      </c>
      <c r="I18" s="17">
        <v>78.75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46244</v>
      </c>
      <c r="B19" s="8" t="s">
        <v>20</v>
      </c>
      <c r="C19" s="8" t="s">
        <v>10</v>
      </c>
      <c r="D19" s="8" t="s">
        <v>15</v>
      </c>
      <c r="E19" s="12">
        <v>1157.5999999999999</v>
      </c>
      <c r="F19" s="17">
        <f>E19-'10.08.2026'!E19</f>
        <v>1.1999999999998181</v>
      </c>
      <c r="G19" s="17">
        <v>-11</v>
      </c>
      <c r="H19" s="17">
        <v>-38.799999999999997</v>
      </c>
      <c r="I19" s="17">
        <v>117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46244</v>
      </c>
      <c r="B20" s="8" t="s">
        <v>21</v>
      </c>
      <c r="C20" s="8" t="s">
        <v>10</v>
      </c>
      <c r="D20" s="8" t="s">
        <v>15</v>
      </c>
      <c r="E20" s="12">
        <v>303.7</v>
      </c>
      <c r="F20" s="17">
        <f>E20-'10.08.2026'!E20</f>
        <v>-4.4000000000000341</v>
      </c>
      <c r="G20" s="17">
        <v>-9.6999999999999993</v>
      </c>
      <c r="H20" s="17">
        <v>-19.399999999999999</v>
      </c>
      <c r="I20" s="17">
        <v>-8.8000000000000007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46244</v>
      </c>
      <c r="B21" s="8" t="s">
        <v>22</v>
      </c>
      <c r="C21" s="8" t="s">
        <v>10</v>
      </c>
      <c r="D21" s="8" t="s">
        <v>122</v>
      </c>
      <c r="E21" s="12">
        <v>69.459999999999994</v>
      </c>
      <c r="F21" s="17">
        <f>E21-'10.08.2026'!E21</f>
        <v>1.2999999999999972</v>
      </c>
      <c r="G21" s="17">
        <v>0.77</v>
      </c>
      <c r="H21" s="17">
        <v>-1.4</v>
      </c>
      <c r="I21" s="17">
        <v>19.25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46245</v>
      </c>
      <c r="B26" s="8" t="s">
        <v>25</v>
      </c>
      <c r="C26" s="8" t="s">
        <v>55</v>
      </c>
      <c r="D26" s="8" t="s">
        <v>135</v>
      </c>
      <c r="E26" s="21">
        <v>175</v>
      </c>
      <c r="F26" s="22"/>
      <c r="G26" s="16">
        <v>0</v>
      </c>
      <c r="H26" s="16">
        <v>-13</v>
      </c>
      <c r="I26" s="16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/>
      <c r="G27" s="23"/>
      <c r="H27" s="23"/>
      <c r="I27" s="23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46245</v>
      </c>
      <c r="B28" s="8" t="s">
        <v>25</v>
      </c>
      <c r="C28" s="8" t="s">
        <v>143</v>
      </c>
      <c r="D28" s="8" t="s">
        <v>136</v>
      </c>
      <c r="E28" s="21">
        <v>197.5</v>
      </c>
      <c r="F28" s="22"/>
      <c r="G28" s="16">
        <v>0</v>
      </c>
      <c r="H28" s="16"/>
      <c r="I28" s="16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/>
      <c r="G29" s="23"/>
      <c r="H29" s="23"/>
      <c r="I29" s="23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46245</v>
      </c>
      <c r="B30" s="8" t="s">
        <v>25</v>
      </c>
      <c r="C30" s="8" t="s">
        <v>41</v>
      </c>
      <c r="D30" s="8" t="s">
        <v>139</v>
      </c>
      <c r="E30" s="21">
        <v>7950</v>
      </c>
      <c r="F30" s="22"/>
      <c r="G30" s="23">
        <v>200</v>
      </c>
      <c r="H30" s="23">
        <v>-1700</v>
      </c>
      <c r="I30" s="23">
        <v>-2400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46245</v>
      </c>
      <c r="B31" s="8" t="s">
        <v>25</v>
      </c>
      <c r="C31" s="8" t="s">
        <v>41</v>
      </c>
      <c r="D31" s="8" t="s">
        <v>138</v>
      </c>
      <c r="E31" s="21">
        <v>6750</v>
      </c>
      <c r="F31" s="22"/>
      <c r="G31" s="16">
        <v>0</v>
      </c>
      <c r="H31" s="16">
        <v>-2000</v>
      </c>
      <c r="I31" s="24">
        <v>-3000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46245</v>
      </c>
      <c r="B32" s="8" t="s">
        <v>25</v>
      </c>
      <c r="C32" s="8" t="s">
        <v>57</v>
      </c>
      <c r="D32" s="8" t="s">
        <v>136</v>
      </c>
      <c r="E32" s="21">
        <v>192.5</v>
      </c>
      <c r="F32" s="22"/>
      <c r="G32" s="23">
        <v>0</v>
      </c>
      <c r="H32" s="24">
        <v>0</v>
      </c>
      <c r="I32" s="24">
        <v>-8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192.5</v>
      </c>
      <c r="F33" s="22"/>
      <c r="G33" s="23"/>
      <c r="H33" s="23"/>
      <c r="I33" s="2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46245</v>
      </c>
      <c r="B34" s="8" t="s">
        <v>25</v>
      </c>
      <c r="C34" s="8" t="s">
        <v>40</v>
      </c>
      <c r="D34" s="8" t="s">
        <v>136</v>
      </c>
      <c r="E34" s="21">
        <v>202.5</v>
      </c>
      <c r="F34" s="22"/>
      <c r="G34" s="23">
        <v>0</v>
      </c>
      <c r="H34" s="23">
        <v>0</v>
      </c>
      <c r="I34" s="23">
        <v>-18.5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202.5</v>
      </c>
      <c r="F35" s="22"/>
      <c r="G35" s="23"/>
      <c r="H35" s="23"/>
      <c r="I35" s="23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46245</v>
      </c>
      <c r="B36" s="8" t="s">
        <v>25</v>
      </c>
      <c r="C36" s="8" t="s">
        <v>6</v>
      </c>
      <c r="D36" s="8" t="s">
        <v>136</v>
      </c>
      <c r="E36" s="21">
        <v>248</v>
      </c>
      <c r="F36" s="22"/>
      <c r="G36" s="16">
        <v>-2</v>
      </c>
      <c r="H36" s="16">
        <v>20</v>
      </c>
      <c r="I36" s="16">
        <v>27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46245</v>
      </c>
      <c r="B37" s="8" t="s">
        <v>25</v>
      </c>
      <c r="C37" s="8" t="s">
        <v>24</v>
      </c>
      <c r="D37" s="8" t="s">
        <v>136</v>
      </c>
      <c r="E37" s="21">
        <v>225.5</v>
      </c>
      <c r="F37" s="22"/>
      <c r="G37" s="16">
        <v>-2</v>
      </c>
      <c r="H37" s="16">
        <v>18</v>
      </c>
      <c r="I37" s="16">
        <v>-2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46245</v>
      </c>
      <c r="B38" s="8" t="s">
        <v>25</v>
      </c>
      <c r="C38" s="8" t="s">
        <v>54</v>
      </c>
      <c r="D38" s="8" t="s">
        <v>136</v>
      </c>
      <c r="E38" s="21">
        <v>267</v>
      </c>
      <c r="F38" s="22"/>
      <c r="G38" s="16">
        <v>0</v>
      </c>
      <c r="H38" s="16">
        <v>0</v>
      </c>
      <c r="I38" s="16">
        <v>24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46245</v>
      </c>
      <c r="B39" s="8" t="s">
        <v>23</v>
      </c>
      <c r="C39" s="8" t="s">
        <v>29</v>
      </c>
      <c r="D39" s="8" t="s">
        <v>136</v>
      </c>
      <c r="E39" s="21">
        <v>220</v>
      </c>
      <c r="F39" s="22"/>
      <c r="G39" s="23">
        <v>-3</v>
      </c>
      <c r="H39" s="23">
        <v>6</v>
      </c>
      <c r="I39" s="23">
        <v>24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46245</v>
      </c>
      <c r="B40" s="8" t="s">
        <v>23</v>
      </c>
      <c r="C40" s="8" t="s">
        <v>38</v>
      </c>
      <c r="D40" s="8" t="s">
        <v>137</v>
      </c>
      <c r="E40" s="21">
        <v>217.5</v>
      </c>
      <c r="F40" s="22"/>
      <c r="G40" s="23">
        <v>0</v>
      </c>
      <c r="H40" s="16">
        <v>0</v>
      </c>
      <c r="I40" s="24">
        <v>-10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224.5</v>
      </c>
      <c r="F41" s="22"/>
      <c r="G41" s="23"/>
      <c r="H41" s="23"/>
      <c r="I41" s="23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46245</v>
      </c>
      <c r="B42" s="8" t="s">
        <v>23</v>
      </c>
      <c r="C42" s="8" t="s">
        <v>55</v>
      </c>
      <c r="D42" s="8" t="s">
        <v>135</v>
      </c>
      <c r="E42" s="21">
        <v>192.5</v>
      </c>
      <c r="F42" s="22"/>
      <c r="G42" s="23">
        <v>-20</v>
      </c>
      <c r="H42" s="24">
        <v>-23</v>
      </c>
      <c r="I42" s="24">
        <v>-37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216</v>
      </c>
      <c r="F43" s="22"/>
      <c r="G43" s="23"/>
      <c r="H43" s="23"/>
      <c r="I43" s="2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46245</v>
      </c>
      <c r="B44" s="8" t="s">
        <v>23</v>
      </c>
      <c r="C44" s="8" t="s">
        <v>143</v>
      </c>
      <c r="D44" s="8" t="s">
        <v>136</v>
      </c>
      <c r="E44" s="21">
        <v>202.5</v>
      </c>
      <c r="F44" s="22"/>
      <c r="G44" s="23">
        <v>-23</v>
      </c>
      <c r="H44" s="23"/>
      <c r="I44" s="23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/>
      <c r="G45" s="23"/>
      <c r="H45" s="23"/>
      <c r="I45" s="23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46245</v>
      </c>
      <c r="B46" s="8" t="s">
        <v>23</v>
      </c>
      <c r="C46" s="8" t="s">
        <v>41</v>
      </c>
      <c r="D46" s="8" t="s">
        <v>139</v>
      </c>
      <c r="E46" s="21">
        <v>8500</v>
      </c>
      <c r="F46" s="22"/>
      <c r="G46" s="23">
        <v>0</v>
      </c>
      <c r="H46" s="16">
        <v>-2150</v>
      </c>
      <c r="I46" s="24">
        <v>-2950</v>
      </c>
    </row>
    <row r="47" spans="1:23" customFormat="1" x14ac:dyDescent="0.3">
      <c r="A47" s="7">
        <v>46245</v>
      </c>
      <c r="B47" s="8" t="s">
        <v>23</v>
      </c>
      <c r="C47" s="8" t="s">
        <v>41</v>
      </c>
      <c r="D47" s="8" t="s">
        <v>138</v>
      </c>
      <c r="E47" s="21">
        <v>8000</v>
      </c>
      <c r="F47" s="22"/>
      <c r="G47" s="23">
        <v>0</v>
      </c>
      <c r="H47" s="23">
        <v>-1550</v>
      </c>
      <c r="I47" s="23">
        <v>-2150</v>
      </c>
    </row>
    <row r="48" spans="1:23" customFormat="1" x14ac:dyDescent="0.3">
      <c r="A48" s="7">
        <v>46245</v>
      </c>
      <c r="B48" s="8" t="s">
        <v>23</v>
      </c>
      <c r="C48" s="8" t="s">
        <v>57</v>
      </c>
      <c r="D48" s="8" t="s">
        <v>136</v>
      </c>
      <c r="E48" s="21">
        <v>207.5</v>
      </c>
      <c r="F48" s="22"/>
      <c r="G48" s="16">
        <v>-5</v>
      </c>
      <c r="H48" s="16">
        <v>-10</v>
      </c>
      <c r="I48" s="24">
        <v>-15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212.5</v>
      </c>
      <c r="F49" s="22"/>
      <c r="G49" s="16"/>
      <c r="H49" s="16"/>
      <c r="I49" s="16"/>
    </row>
    <row r="50" spans="1:9" customFormat="1" x14ac:dyDescent="0.3">
      <c r="A50" s="7">
        <v>46245</v>
      </c>
      <c r="B50" s="8" t="s">
        <v>23</v>
      </c>
      <c r="C50" s="8" t="s">
        <v>40</v>
      </c>
      <c r="D50" s="8" t="s">
        <v>136</v>
      </c>
      <c r="E50" s="21">
        <v>217.5</v>
      </c>
      <c r="F50" s="22"/>
      <c r="G50" s="16">
        <v>-7.5</v>
      </c>
      <c r="H50" s="16">
        <v>-10</v>
      </c>
      <c r="I50" s="16">
        <v>-20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225</v>
      </c>
      <c r="F51" s="22"/>
      <c r="G51" s="16"/>
      <c r="H51" s="16"/>
      <c r="I51" s="16"/>
    </row>
    <row r="52" spans="1:9" customFormat="1" x14ac:dyDescent="0.3">
      <c r="A52" s="7">
        <v>46245</v>
      </c>
      <c r="B52" s="8" t="s">
        <v>23</v>
      </c>
      <c r="C52" s="8" t="s">
        <v>24</v>
      </c>
      <c r="D52" s="8" t="s">
        <v>136</v>
      </c>
      <c r="E52" s="21">
        <v>252.5</v>
      </c>
      <c r="F52" s="22"/>
      <c r="G52" s="23">
        <v>-1</v>
      </c>
      <c r="H52" s="23">
        <v>15</v>
      </c>
      <c r="I52" s="23">
        <v>5</v>
      </c>
    </row>
    <row r="53" spans="1:9" customFormat="1" x14ac:dyDescent="0.3">
      <c r="A53" s="7">
        <v>46245</v>
      </c>
      <c r="B53" s="8" t="s">
        <v>23</v>
      </c>
      <c r="C53" s="8" t="s">
        <v>58</v>
      </c>
      <c r="D53" s="8" t="s">
        <v>136</v>
      </c>
      <c r="E53" s="21">
        <v>220</v>
      </c>
      <c r="F53" s="22"/>
      <c r="G53" s="16">
        <v>-3</v>
      </c>
      <c r="H53" s="16">
        <v>2</v>
      </c>
      <c r="I53" s="24">
        <v>11</v>
      </c>
    </row>
    <row r="54" spans="1:9" customFormat="1" x14ac:dyDescent="0.3">
      <c r="A54" s="7">
        <v>46245</v>
      </c>
      <c r="B54" s="8" t="s">
        <v>23</v>
      </c>
      <c r="C54" s="8" t="s">
        <v>5</v>
      </c>
      <c r="D54" s="8" t="s">
        <v>136</v>
      </c>
      <c r="E54" s="21">
        <v>206</v>
      </c>
      <c r="F54" s="22"/>
      <c r="G54" s="23">
        <v>-3</v>
      </c>
      <c r="H54" s="23">
        <v>4</v>
      </c>
      <c r="I54" s="23">
        <v>7</v>
      </c>
    </row>
    <row r="55" spans="1:9" customFormat="1" x14ac:dyDescent="0.3">
      <c r="A55" s="7">
        <v>46245</v>
      </c>
      <c r="B55" s="8" t="s">
        <v>27</v>
      </c>
      <c r="C55" s="8" t="s">
        <v>55</v>
      </c>
      <c r="D55" s="8" t="s">
        <v>135</v>
      </c>
      <c r="E55" s="21">
        <v>167.5</v>
      </c>
      <c r="F55" s="22"/>
      <c r="G55" s="23">
        <v>5</v>
      </c>
      <c r="H55" s="23">
        <v>-28</v>
      </c>
      <c r="I55" s="23">
        <v>-48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167.5</v>
      </c>
      <c r="F56" s="22"/>
      <c r="G56" s="16"/>
      <c r="H56" s="16"/>
      <c r="I56" s="16"/>
    </row>
    <row r="57" spans="1:9" customFormat="1" x14ac:dyDescent="0.3">
      <c r="A57" s="7">
        <v>46245</v>
      </c>
      <c r="B57" s="8" t="s">
        <v>27</v>
      </c>
      <c r="C57" s="8" t="s">
        <v>143</v>
      </c>
      <c r="D57" s="8" t="s">
        <v>136</v>
      </c>
      <c r="E57" s="21">
        <v>187.5</v>
      </c>
      <c r="F57" s="22"/>
      <c r="G57" s="16">
        <v>-10</v>
      </c>
      <c r="H57" s="16"/>
      <c r="I57" s="16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/>
      <c r="G58" s="23"/>
      <c r="H58" s="23"/>
      <c r="I58" s="23"/>
    </row>
    <row r="59" spans="1:9" customFormat="1" x14ac:dyDescent="0.3">
      <c r="A59" s="7">
        <v>46245</v>
      </c>
      <c r="B59" s="8" t="s">
        <v>27</v>
      </c>
      <c r="C59" s="8" t="s">
        <v>41</v>
      </c>
      <c r="D59" s="8" t="s">
        <v>139</v>
      </c>
      <c r="E59" s="21">
        <v>8250</v>
      </c>
      <c r="F59" s="22"/>
      <c r="G59" s="23">
        <v>300</v>
      </c>
      <c r="H59" s="23">
        <v>-1500</v>
      </c>
      <c r="I59" s="23">
        <v>-2000</v>
      </c>
    </row>
    <row r="60" spans="1:9" customFormat="1" x14ac:dyDescent="0.3">
      <c r="A60" s="7">
        <v>46245</v>
      </c>
      <c r="B60" s="8" t="s">
        <v>27</v>
      </c>
      <c r="C60" s="8" t="s">
        <v>41</v>
      </c>
      <c r="D60" s="8" t="s">
        <v>138</v>
      </c>
      <c r="E60" s="21">
        <v>6500</v>
      </c>
      <c r="F60" s="22"/>
      <c r="G60" s="16">
        <v>0</v>
      </c>
      <c r="H60" s="16">
        <v>-2250</v>
      </c>
      <c r="I60" s="24">
        <v>-3050</v>
      </c>
    </row>
    <row r="61" spans="1:9" customFormat="1" x14ac:dyDescent="0.3">
      <c r="A61" s="7">
        <v>46245</v>
      </c>
      <c r="B61" s="8" t="s">
        <v>27</v>
      </c>
      <c r="C61" s="8" t="s">
        <v>40</v>
      </c>
      <c r="D61" s="8" t="s">
        <v>136</v>
      </c>
      <c r="E61" s="21">
        <v>187.5</v>
      </c>
      <c r="F61" s="22"/>
      <c r="G61" s="16">
        <v>0</v>
      </c>
      <c r="H61" s="16">
        <v>-10</v>
      </c>
      <c r="I61" s="16">
        <v>-25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187.5</v>
      </c>
      <c r="F62" s="22"/>
      <c r="G62" s="16"/>
      <c r="H62" s="16"/>
      <c r="I62" s="16"/>
    </row>
    <row r="63" spans="1:9" customFormat="1" x14ac:dyDescent="0.3">
      <c r="A63" s="7">
        <v>46245</v>
      </c>
      <c r="B63" s="8" t="s">
        <v>27</v>
      </c>
      <c r="C63" s="8" t="s">
        <v>24</v>
      </c>
      <c r="D63" s="8" t="s">
        <v>136</v>
      </c>
      <c r="E63" s="21">
        <v>235.5</v>
      </c>
      <c r="F63" s="22"/>
      <c r="G63" s="23">
        <v>-2</v>
      </c>
      <c r="H63" s="23">
        <v>3</v>
      </c>
      <c r="I63" s="23">
        <v>5</v>
      </c>
    </row>
    <row r="64" spans="1:9" customFormat="1" x14ac:dyDescent="0.3">
      <c r="A64" s="7">
        <v>46245</v>
      </c>
      <c r="B64" s="8" t="s">
        <v>31</v>
      </c>
      <c r="C64" s="8" t="s">
        <v>29</v>
      </c>
      <c r="D64" s="8" t="s">
        <v>136</v>
      </c>
      <c r="E64" s="21">
        <v>316</v>
      </c>
      <c r="F64" s="22">
        <v>-1</v>
      </c>
      <c r="G64" s="23">
        <v>-5</v>
      </c>
      <c r="H64" s="16">
        <v>20</v>
      </c>
      <c r="I64" s="24">
        <v>78</v>
      </c>
    </row>
    <row r="65" spans="1:9" customFormat="1" x14ac:dyDescent="0.3">
      <c r="A65" s="7">
        <v>46245</v>
      </c>
      <c r="B65" s="8" t="s">
        <v>26</v>
      </c>
      <c r="C65" s="8" t="s">
        <v>55</v>
      </c>
      <c r="D65" s="8" t="s">
        <v>135</v>
      </c>
      <c r="E65" s="21">
        <v>172.5</v>
      </c>
      <c r="F65" s="22"/>
      <c r="G65" s="16">
        <v>-5</v>
      </c>
      <c r="H65" s="16">
        <v>-38</v>
      </c>
      <c r="I65" s="16">
        <v>-57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172.5</v>
      </c>
      <c r="F66" s="22"/>
      <c r="G66" s="16"/>
      <c r="H66" s="16"/>
      <c r="I66" s="16"/>
    </row>
    <row r="67" spans="1:9" customFormat="1" x14ac:dyDescent="0.3">
      <c r="A67" s="7">
        <v>46245</v>
      </c>
      <c r="B67" s="8" t="s">
        <v>26</v>
      </c>
      <c r="C67" s="8" t="s">
        <v>143</v>
      </c>
      <c r="D67" s="8" t="s">
        <v>136</v>
      </c>
      <c r="E67" s="21">
        <v>192.5</v>
      </c>
      <c r="F67" s="22"/>
      <c r="G67" s="16">
        <v>-20</v>
      </c>
      <c r="H67" s="16"/>
      <c r="I67" s="16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/>
      <c r="G68" s="16"/>
      <c r="H68" s="16"/>
      <c r="I68" s="16"/>
    </row>
    <row r="69" spans="1:9" customFormat="1" x14ac:dyDescent="0.3">
      <c r="A69" s="7">
        <v>46245</v>
      </c>
      <c r="B69" s="8" t="s">
        <v>26</v>
      </c>
      <c r="C69" s="8" t="s">
        <v>57</v>
      </c>
      <c r="D69" s="8" t="s">
        <v>136</v>
      </c>
      <c r="E69" s="21">
        <v>182.5</v>
      </c>
      <c r="F69" s="22"/>
      <c r="G69" s="23">
        <v>0</v>
      </c>
      <c r="H69" s="23">
        <v>-5</v>
      </c>
      <c r="I69" s="23">
        <v>-26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182.5</v>
      </c>
      <c r="F70" s="22"/>
      <c r="G70" s="16"/>
      <c r="H70" s="16"/>
      <c r="I70" s="24"/>
    </row>
    <row r="71" spans="1:9" customFormat="1" x14ac:dyDescent="0.3">
      <c r="A71" s="7">
        <v>46245</v>
      </c>
      <c r="B71" s="8" t="s">
        <v>26</v>
      </c>
      <c r="C71" s="8" t="s">
        <v>40</v>
      </c>
      <c r="D71" s="8" t="s">
        <v>136</v>
      </c>
      <c r="E71" s="21">
        <v>217.5</v>
      </c>
      <c r="F71" s="22"/>
      <c r="G71" s="16">
        <v>0</v>
      </c>
      <c r="H71" s="16">
        <v>-5</v>
      </c>
      <c r="I71" s="16">
        <v>-14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217.5</v>
      </c>
      <c r="F72" s="22"/>
      <c r="G72" s="16"/>
      <c r="H72" s="16"/>
      <c r="I72" s="16"/>
    </row>
    <row r="73" spans="1:9" customFormat="1" x14ac:dyDescent="0.3">
      <c r="A73" s="7">
        <v>46245</v>
      </c>
      <c r="B73" s="8" t="s">
        <v>26</v>
      </c>
      <c r="C73" s="8" t="s">
        <v>6</v>
      </c>
      <c r="D73" s="8" t="s">
        <v>136</v>
      </c>
      <c r="E73" s="21">
        <v>256</v>
      </c>
      <c r="F73" s="22">
        <v>-1</v>
      </c>
      <c r="G73" s="23">
        <v>-3</v>
      </c>
      <c r="H73" s="23">
        <v>21</v>
      </c>
      <c r="I73" s="23">
        <v>19</v>
      </c>
    </row>
    <row r="74" spans="1:9" customFormat="1" x14ac:dyDescent="0.3">
      <c r="A74" s="7">
        <v>46245</v>
      </c>
      <c r="B74" s="8" t="s">
        <v>28</v>
      </c>
      <c r="C74" s="8" t="s">
        <v>24</v>
      </c>
      <c r="D74" s="8" t="s">
        <v>136</v>
      </c>
      <c r="E74" s="21">
        <v>250.5</v>
      </c>
      <c r="F74" s="22"/>
      <c r="G74" s="16">
        <v>-2</v>
      </c>
      <c r="H74" s="16">
        <v>13</v>
      </c>
      <c r="I74" s="16">
        <v>8</v>
      </c>
    </row>
    <row r="75" spans="1:9" customFormat="1" x14ac:dyDescent="0.3">
      <c r="A75" s="7">
        <v>46245</v>
      </c>
      <c r="B75" s="8" t="s">
        <v>39</v>
      </c>
      <c r="C75" s="8" t="s">
        <v>55</v>
      </c>
      <c r="D75" s="8" t="s">
        <v>135</v>
      </c>
      <c r="E75" s="21">
        <v>174.5</v>
      </c>
      <c r="F75" s="22"/>
      <c r="G75" s="16">
        <v>-5</v>
      </c>
      <c r="H75" s="16">
        <v>-38</v>
      </c>
      <c r="I75" s="16">
        <v>-57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174.5</v>
      </c>
      <c r="F76" s="22"/>
      <c r="G76" s="16"/>
      <c r="H76" s="16"/>
      <c r="I76" s="24"/>
    </row>
    <row r="77" spans="1:9" customFormat="1" x14ac:dyDescent="0.3">
      <c r="A77" s="7">
        <v>46245</v>
      </c>
      <c r="B77" s="8" t="s">
        <v>39</v>
      </c>
      <c r="C77" s="8" t="s">
        <v>143</v>
      </c>
      <c r="D77" s="8" t="s">
        <v>136</v>
      </c>
      <c r="E77" s="21">
        <v>197.5</v>
      </c>
      <c r="F77" s="22"/>
      <c r="G77" s="16">
        <v>-20</v>
      </c>
      <c r="H77" s="16"/>
      <c r="I77" s="16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/>
      <c r="G78" s="23"/>
      <c r="H78" s="23"/>
      <c r="I78" s="23"/>
    </row>
    <row r="79" spans="1:9" customFormat="1" x14ac:dyDescent="0.3">
      <c r="A79" s="7">
        <v>46245</v>
      </c>
      <c r="B79" s="8" t="s">
        <v>39</v>
      </c>
      <c r="C79" s="8" t="s">
        <v>41</v>
      </c>
      <c r="D79" s="8" t="s">
        <v>139</v>
      </c>
      <c r="E79" s="21">
        <v>8950</v>
      </c>
      <c r="F79" s="22"/>
      <c r="G79" s="16">
        <v>200</v>
      </c>
      <c r="H79" s="16">
        <v>-1600</v>
      </c>
      <c r="I79" s="24">
        <v>-2200</v>
      </c>
    </row>
    <row r="80" spans="1:9" customFormat="1" x14ac:dyDescent="0.3">
      <c r="A80" s="7">
        <v>46245</v>
      </c>
      <c r="B80" s="8" t="s">
        <v>39</v>
      </c>
      <c r="C80" s="8" t="s">
        <v>41</v>
      </c>
      <c r="D80" s="8" t="s">
        <v>138</v>
      </c>
      <c r="E80" s="21">
        <v>7500</v>
      </c>
      <c r="F80" s="22"/>
      <c r="G80" s="16">
        <v>0</v>
      </c>
      <c r="H80" s="16">
        <v>-1750</v>
      </c>
      <c r="I80" s="16">
        <v>-2850</v>
      </c>
    </row>
    <row r="81" spans="1:9" customFormat="1" x14ac:dyDescent="0.3">
      <c r="A81" s="7">
        <v>46245</v>
      </c>
      <c r="B81" s="8" t="s">
        <v>39</v>
      </c>
      <c r="C81" s="8" t="s">
        <v>57</v>
      </c>
      <c r="D81" s="8" t="s">
        <v>136</v>
      </c>
      <c r="E81" s="21">
        <v>188.5</v>
      </c>
      <c r="F81" s="22"/>
      <c r="G81" s="24">
        <v>0</v>
      </c>
      <c r="H81" s="16">
        <v>-4</v>
      </c>
      <c r="I81" s="24">
        <v>-23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188.5</v>
      </c>
      <c r="F82" s="22"/>
      <c r="G82" s="23"/>
      <c r="H82" s="23"/>
      <c r="I82" s="23"/>
    </row>
    <row r="83" spans="1:9" customFormat="1" x14ac:dyDescent="0.3">
      <c r="A83" s="7">
        <v>46245</v>
      </c>
      <c r="B83" s="8" t="s">
        <v>39</v>
      </c>
      <c r="C83" s="8" t="s">
        <v>40</v>
      </c>
      <c r="D83" s="8" t="s">
        <v>136</v>
      </c>
      <c r="E83" s="21">
        <v>223.5</v>
      </c>
      <c r="F83" s="22"/>
      <c r="G83" s="16">
        <v>0</v>
      </c>
      <c r="H83" s="16">
        <v>-4</v>
      </c>
      <c r="I83" s="16">
        <v>-14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223.5</v>
      </c>
      <c r="F84" s="22"/>
      <c r="G84" s="23"/>
      <c r="H84" s="23"/>
      <c r="I84" s="23"/>
    </row>
    <row r="85" spans="1:9" customFormat="1" x14ac:dyDescent="0.3">
      <c r="A85" s="7">
        <v>46245</v>
      </c>
      <c r="B85" s="8" t="s">
        <v>30</v>
      </c>
      <c r="C85" s="8" t="s">
        <v>29</v>
      </c>
      <c r="D85" s="8" t="s">
        <v>136</v>
      </c>
      <c r="E85" s="21">
        <v>268</v>
      </c>
      <c r="F85" s="22">
        <v>-3</v>
      </c>
      <c r="G85" s="23">
        <v>-6</v>
      </c>
      <c r="H85" s="23">
        <v>12</v>
      </c>
      <c r="I85" s="23">
        <v>46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46245</v>
      </c>
      <c r="B90" s="8" t="s">
        <v>45</v>
      </c>
      <c r="C90" s="8" t="s">
        <v>41</v>
      </c>
      <c r="D90" s="8" t="s">
        <v>138</v>
      </c>
      <c r="E90" s="21">
        <v>24500</v>
      </c>
      <c r="F90" s="22"/>
      <c r="G90" s="22">
        <v>0</v>
      </c>
      <c r="H90" s="22">
        <v>-4000</v>
      </c>
      <c r="I90" s="22">
        <v>-5000</v>
      </c>
    </row>
    <row r="91" spans="1:9" customFormat="1" x14ac:dyDescent="0.3">
      <c r="A91" s="7">
        <v>46245</v>
      </c>
      <c r="B91" s="8" t="s">
        <v>35</v>
      </c>
      <c r="C91" s="8" t="s">
        <v>4</v>
      </c>
      <c r="D91" s="8" t="s">
        <v>136</v>
      </c>
      <c r="E91" s="21">
        <v>1112</v>
      </c>
      <c r="F91" s="22">
        <v>-1</v>
      </c>
      <c r="G91" s="22">
        <v>8</v>
      </c>
      <c r="H91" s="22">
        <v>7</v>
      </c>
      <c r="I91" s="22">
        <v>108</v>
      </c>
    </row>
    <row r="92" spans="1:9" customFormat="1" x14ac:dyDescent="0.3">
      <c r="A92" s="7">
        <v>46245</v>
      </c>
      <c r="B92" s="8" t="s">
        <v>19</v>
      </c>
      <c r="C92" s="8" t="s">
        <v>38</v>
      </c>
      <c r="D92" s="8" t="s">
        <v>137</v>
      </c>
      <c r="E92" s="21">
        <v>485</v>
      </c>
      <c r="F92" s="22"/>
      <c r="G92" s="22">
        <v>-30</v>
      </c>
      <c r="H92" s="22">
        <v>-90</v>
      </c>
      <c r="I92" s="22">
        <v>-45</v>
      </c>
    </row>
    <row r="93" spans="1:9" customFormat="1" x14ac:dyDescent="0.3">
      <c r="A93" s="7">
        <v>46245</v>
      </c>
      <c r="B93" s="8" t="s">
        <v>19</v>
      </c>
      <c r="C93" s="8" t="s">
        <v>120</v>
      </c>
      <c r="D93" s="8" t="s">
        <v>135</v>
      </c>
      <c r="E93" s="21">
        <v>485</v>
      </c>
      <c r="F93" s="22"/>
      <c r="G93" s="22">
        <v>-30</v>
      </c>
      <c r="H93" s="22">
        <v>-105</v>
      </c>
      <c r="I93" s="22">
        <v>-55</v>
      </c>
    </row>
    <row r="94" spans="1:9" customFormat="1" x14ac:dyDescent="0.3">
      <c r="A94" s="7">
        <v>46245</v>
      </c>
      <c r="B94" s="8" t="s">
        <v>19</v>
      </c>
      <c r="C94" s="8" t="s">
        <v>120</v>
      </c>
      <c r="D94" s="8" t="s">
        <v>136</v>
      </c>
      <c r="E94" s="21">
        <v>500</v>
      </c>
      <c r="F94" s="22"/>
      <c r="G94" s="22">
        <v>-30</v>
      </c>
      <c r="H94" s="22">
        <v>-105</v>
      </c>
      <c r="I94" s="22">
        <v>-50</v>
      </c>
    </row>
    <row r="95" spans="1:9" customFormat="1" x14ac:dyDescent="0.3">
      <c r="A95" s="7">
        <v>46245</v>
      </c>
      <c r="B95" s="8" t="s">
        <v>19</v>
      </c>
      <c r="C95" s="8" t="s">
        <v>8</v>
      </c>
      <c r="D95" s="8" t="s">
        <v>136</v>
      </c>
      <c r="E95" s="21">
        <v>623</v>
      </c>
      <c r="F95" s="22">
        <v>5</v>
      </c>
      <c r="G95" s="22">
        <v>20</v>
      </c>
      <c r="H95" s="22">
        <v>27</v>
      </c>
      <c r="I95" s="22">
        <v>78</v>
      </c>
    </row>
    <row r="96" spans="1:9" customFormat="1" x14ac:dyDescent="0.3">
      <c r="A96" s="7">
        <v>46245</v>
      </c>
      <c r="B96" s="8" t="s">
        <v>51</v>
      </c>
      <c r="C96" s="8" t="s">
        <v>41</v>
      </c>
      <c r="D96" s="8" t="s">
        <v>139</v>
      </c>
      <c r="E96" s="21">
        <v>21500</v>
      </c>
      <c r="F96" s="22"/>
      <c r="G96" s="22">
        <v>0</v>
      </c>
      <c r="H96" s="22">
        <v>-5000</v>
      </c>
      <c r="I96" s="22">
        <v>-2800</v>
      </c>
    </row>
    <row r="97" spans="1:23" customFormat="1" x14ac:dyDescent="0.3">
      <c r="A97" s="7">
        <v>46245</v>
      </c>
      <c r="B97" s="8" t="s">
        <v>51</v>
      </c>
      <c r="C97" s="8" t="s">
        <v>41</v>
      </c>
      <c r="D97" s="8" t="s">
        <v>138</v>
      </c>
      <c r="E97" s="21">
        <v>20500</v>
      </c>
      <c r="F97" s="22"/>
      <c r="G97" s="22">
        <v>0</v>
      </c>
      <c r="H97" s="22">
        <v>-5000</v>
      </c>
      <c r="I97" s="22">
        <v>-3200</v>
      </c>
    </row>
    <row r="98" spans="1:23" customFormat="1" x14ac:dyDescent="0.3">
      <c r="A98" s="7">
        <v>46245</v>
      </c>
      <c r="B98" s="8" t="s">
        <v>47</v>
      </c>
      <c r="C98" s="8" t="s">
        <v>41</v>
      </c>
      <c r="D98" s="8" t="s">
        <v>138</v>
      </c>
      <c r="E98" s="21">
        <v>18850</v>
      </c>
      <c r="F98" s="22"/>
      <c r="G98" s="22">
        <v>0</v>
      </c>
      <c r="H98" s="22">
        <v>-900</v>
      </c>
      <c r="I98" s="22">
        <v>3600</v>
      </c>
    </row>
    <row r="99" spans="1:23" customFormat="1" x14ac:dyDescent="0.3">
      <c r="A99" s="7">
        <v>46245</v>
      </c>
      <c r="B99" s="8" t="s">
        <v>36</v>
      </c>
      <c r="C99" s="8" t="s">
        <v>41</v>
      </c>
      <c r="D99" s="8" t="s">
        <v>135</v>
      </c>
      <c r="E99" s="21">
        <v>390</v>
      </c>
      <c r="F99" s="22"/>
      <c r="G99" s="22">
        <v>0</v>
      </c>
      <c r="H99" s="22">
        <v>-15</v>
      </c>
      <c r="I99" s="22"/>
    </row>
    <row r="100" spans="1:23" customFormat="1" x14ac:dyDescent="0.3">
      <c r="A100" s="7">
        <v>46245</v>
      </c>
      <c r="B100" s="8" t="s">
        <v>36</v>
      </c>
      <c r="C100" s="8" t="s">
        <v>41</v>
      </c>
      <c r="D100" s="8" t="s">
        <v>138</v>
      </c>
      <c r="E100" s="21">
        <v>19350</v>
      </c>
      <c r="F100" s="22"/>
      <c r="G100" s="22">
        <v>0</v>
      </c>
      <c r="H100" s="22">
        <v>-900</v>
      </c>
      <c r="I100" s="22">
        <v>3600</v>
      </c>
    </row>
    <row r="101" spans="1:23" customFormat="1" x14ac:dyDescent="0.3">
      <c r="A101" s="7">
        <v>46245</v>
      </c>
      <c r="B101" s="8" t="s">
        <v>36</v>
      </c>
      <c r="C101" s="8" t="s">
        <v>5</v>
      </c>
      <c r="D101" s="8" t="s">
        <v>136</v>
      </c>
      <c r="E101" s="21">
        <v>338</v>
      </c>
      <c r="F101" s="22">
        <v>-2</v>
      </c>
      <c r="G101" s="22">
        <v>-10</v>
      </c>
      <c r="H101" s="22">
        <v>-3</v>
      </c>
      <c r="I101" s="22">
        <v>43</v>
      </c>
    </row>
    <row r="102" spans="1:23" customFormat="1" x14ac:dyDescent="0.3">
      <c r="A102" s="7">
        <v>46245</v>
      </c>
      <c r="B102" s="8" t="s">
        <v>34</v>
      </c>
      <c r="C102" s="8" t="s">
        <v>41</v>
      </c>
      <c r="D102" s="8" t="s">
        <v>138</v>
      </c>
      <c r="E102" s="21">
        <v>56500</v>
      </c>
      <c r="F102" s="22"/>
      <c r="G102" s="22">
        <v>0</v>
      </c>
      <c r="H102" s="22">
        <v>-500</v>
      </c>
      <c r="I102" s="22">
        <v>7500</v>
      </c>
    </row>
    <row r="103" spans="1:23" customFormat="1" x14ac:dyDescent="0.3">
      <c r="A103" s="7">
        <v>46245</v>
      </c>
      <c r="B103" s="8" t="s">
        <v>34</v>
      </c>
      <c r="C103" s="8" t="s">
        <v>7</v>
      </c>
      <c r="D103" s="8" t="s">
        <v>136</v>
      </c>
      <c r="E103" s="21">
        <v>1194</v>
      </c>
      <c r="F103" s="22">
        <v>10</v>
      </c>
      <c r="G103" s="22">
        <v>9</v>
      </c>
      <c r="H103" s="22">
        <v>29</v>
      </c>
      <c r="I103" s="22">
        <v>111</v>
      </c>
    </row>
    <row r="104" spans="1:23" customFormat="1" x14ac:dyDescent="0.3">
      <c r="A104" s="7">
        <v>46245</v>
      </c>
      <c r="B104" s="8" t="s">
        <v>20</v>
      </c>
      <c r="C104" s="8" t="s">
        <v>29</v>
      </c>
      <c r="D104" s="8" t="s">
        <v>136</v>
      </c>
      <c r="E104" s="21">
        <v>483</v>
      </c>
      <c r="F104" s="22">
        <v>2</v>
      </c>
      <c r="G104" s="22">
        <v>-4</v>
      </c>
      <c r="H104" s="22">
        <v>8</v>
      </c>
      <c r="I104" s="22">
        <v>97</v>
      </c>
    </row>
    <row r="105" spans="1:23" customFormat="1" x14ac:dyDescent="0.3">
      <c r="A105" s="7">
        <v>46245</v>
      </c>
      <c r="B105" s="8" t="s">
        <v>20</v>
      </c>
      <c r="C105" s="8" t="s">
        <v>38</v>
      </c>
      <c r="D105" s="8" t="s">
        <v>137</v>
      </c>
      <c r="E105" s="21">
        <v>445</v>
      </c>
      <c r="F105" s="22"/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46245</v>
      </c>
      <c r="B106" s="8" t="s">
        <v>20</v>
      </c>
      <c r="C106" s="8" t="s">
        <v>55</v>
      </c>
      <c r="D106" s="8" t="s">
        <v>137</v>
      </c>
      <c r="E106" s="21">
        <v>435</v>
      </c>
      <c r="F106" s="22"/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46245</v>
      </c>
      <c r="B107" s="8" t="s">
        <v>20</v>
      </c>
      <c r="C107" s="8" t="s">
        <v>120</v>
      </c>
      <c r="D107" s="8" t="s">
        <v>135</v>
      </c>
      <c r="E107" s="21">
        <v>435</v>
      </c>
      <c r="F107" s="22"/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46245</v>
      </c>
      <c r="B108" s="8" t="s">
        <v>20</v>
      </c>
      <c r="C108" s="8" t="s">
        <v>41</v>
      </c>
      <c r="D108" s="8" t="s">
        <v>139</v>
      </c>
      <c r="E108" s="21">
        <v>20500</v>
      </c>
      <c r="F108" s="22"/>
      <c r="G108" s="22">
        <v>0</v>
      </c>
      <c r="H108" s="22">
        <v>-1000</v>
      </c>
      <c r="I108" s="22">
        <v>2250</v>
      </c>
    </row>
    <row r="109" spans="1:23" customFormat="1" x14ac:dyDescent="0.3">
      <c r="A109" s="7">
        <v>46245</v>
      </c>
      <c r="B109" s="8" t="s">
        <v>20</v>
      </c>
      <c r="C109" s="8" t="s">
        <v>41</v>
      </c>
      <c r="D109" s="8" t="s">
        <v>138</v>
      </c>
      <c r="E109" s="21">
        <v>20000</v>
      </c>
      <c r="F109" s="22"/>
      <c r="G109" s="22">
        <v>0</v>
      </c>
      <c r="H109" s="22">
        <v>-500</v>
      </c>
      <c r="I109" s="22">
        <v>2250</v>
      </c>
    </row>
    <row r="110" spans="1:23" x14ac:dyDescent="0.3">
      <c r="A110" s="7">
        <v>46245</v>
      </c>
      <c r="B110" s="8" t="s">
        <v>20</v>
      </c>
      <c r="C110" s="8" t="s">
        <v>58</v>
      </c>
      <c r="D110" s="8" t="s">
        <v>136</v>
      </c>
      <c r="E110" s="21">
        <v>482</v>
      </c>
      <c r="F110" s="22">
        <v>2</v>
      </c>
      <c r="G110" s="22">
        <v>-4</v>
      </c>
      <c r="H110" s="22">
        <v>17</v>
      </c>
      <c r="I110" s="22">
        <v>43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46245</v>
      </c>
      <c r="B111" s="8" t="s">
        <v>20</v>
      </c>
      <c r="C111" s="8" t="s">
        <v>5</v>
      </c>
      <c r="D111" s="8" t="s">
        <v>136</v>
      </c>
      <c r="E111" s="21">
        <v>454</v>
      </c>
      <c r="F111" s="22">
        <v>2</v>
      </c>
      <c r="G111" s="22">
        <v>-4</v>
      </c>
      <c r="H111" s="22">
        <v>11</v>
      </c>
      <c r="I111" s="22">
        <v>66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46245</v>
      </c>
      <c r="B112" s="8" t="s">
        <v>46</v>
      </c>
      <c r="C112" s="8" t="s">
        <v>41</v>
      </c>
      <c r="D112" s="8" t="s">
        <v>138</v>
      </c>
      <c r="E112" s="21">
        <v>11950</v>
      </c>
      <c r="F112" s="22"/>
      <c r="G112" s="22">
        <v>0</v>
      </c>
      <c r="H112" s="22">
        <v>200</v>
      </c>
      <c r="I112" s="22">
        <v>700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46245</v>
      </c>
      <c r="B113" s="8" t="s">
        <v>44</v>
      </c>
      <c r="C113" s="8" t="s">
        <v>38</v>
      </c>
      <c r="D113" s="8" t="s">
        <v>137</v>
      </c>
      <c r="E113" s="21">
        <v>255</v>
      </c>
      <c r="F113" s="22"/>
      <c r="G113" s="22">
        <v>0</v>
      </c>
      <c r="H113" s="22">
        <v>-10</v>
      </c>
      <c r="I113" s="22">
        <v>10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46245</v>
      </c>
      <c r="B114" s="8" t="s">
        <v>44</v>
      </c>
      <c r="C114" s="8" t="s">
        <v>134</v>
      </c>
      <c r="D114" s="8" t="s">
        <v>135</v>
      </c>
      <c r="E114" s="21">
        <v>225</v>
      </c>
      <c r="F114" s="22"/>
      <c r="G114" s="22">
        <v>0</v>
      </c>
      <c r="H114" s="22">
        <v>-20</v>
      </c>
      <c r="I114" s="22"/>
      <c r="J114"/>
      <c r="K114" s="2"/>
    </row>
    <row r="115" spans="1:21" s="3" customFormat="1" x14ac:dyDescent="0.3">
      <c r="A115" s="7">
        <v>46245</v>
      </c>
      <c r="B115" s="8" t="s">
        <v>44</v>
      </c>
      <c r="C115" s="8" t="s">
        <v>41</v>
      </c>
      <c r="D115" s="8" t="s">
        <v>138</v>
      </c>
      <c r="E115" s="21">
        <v>12450</v>
      </c>
      <c r="F115" s="22"/>
      <c r="G115" s="22">
        <v>0</v>
      </c>
      <c r="H115" s="22">
        <v>200</v>
      </c>
      <c r="I115" s="22">
        <v>200</v>
      </c>
      <c r="J115"/>
      <c r="K115" s="2"/>
    </row>
    <row r="116" spans="1:21" s="3" customFormat="1" x14ac:dyDescent="0.3">
      <c r="A116" s="7">
        <v>46245</v>
      </c>
      <c r="B116" s="8" t="s">
        <v>43</v>
      </c>
      <c r="C116" s="8" t="s">
        <v>143</v>
      </c>
      <c r="D116" s="8" t="s">
        <v>136</v>
      </c>
      <c r="E116" s="21">
        <v>1355</v>
      </c>
      <c r="F116" s="22"/>
      <c r="G116" s="22"/>
      <c r="H116" s="22"/>
      <c r="I116" s="22"/>
      <c r="J116"/>
      <c r="K116" s="2"/>
    </row>
    <row r="117" spans="1:21" s="3" customFormat="1" x14ac:dyDescent="0.3">
      <c r="A117" s="7">
        <v>46245</v>
      </c>
      <c r="B117" s="8" t="s">
        <v>43</v>
      </c>
      <c r="C117" s="8" t="s">
        <v>120</v>
      </c>
      <c r="D117" s="8" t="s">
        <v>135</v>
      </c>
      <c r="E117" s="21">
        <v>1325</v>
      </c>
      <c r="F117" s="22"/>
      <c r="G117" s="22">
        <v>-10</v>
      </c>
      <c r="H117" s="22">
        <v>-25</v>
      </c>
      <c r="I117" s="22">
        <v>165</v>
      </c>
      <c r="J117"/>
      <c r="K117" s="2"/>
    </row>
    <row r="118" spans="1:21" s="3" customFormat="1" x14ac:dyDescent="0.3">
      <c r="A118" s="7">
        <v>46245</v>
      </c>
      <c r="B118" s="8" t="s">
        <v>43</v>
      </c>
      <c r="C118" s="8" t="s">
        <v>120</v>
      </c>
      <c r="D118" s="8" t="s">
        <v>136</v>
      </c>
      <c r="E118" s="21">
        <v>1375</v>
      </c>
      <c r="F118" s="22"/>
      <c r="G118" s="22">
        <v>0</v>
      </c>
      <c r="H118" s="22">
        <v>-10</v>
      </c>
      <c r="I118" s="22">
        <v>190</v>
      </c>
      <c r="J118"/>
      <c r="K118" s="2"/>
    </row>
    <row r="119" spans="1:21" s="3" customFormat="1" x14ac:dyDescent="0.3">
      <c r="A119" s="7">
        <v>46245</v>
      </c>
      <c r="B119" s="8" t="s">
        <v>43</v>
      </c>
      <c r="C119" s="8" t="s">
        <v>41</v>
      </c>
      <c r="D119" s="8" t="s">
        <v>138</v>
      </c>
      <c r="E119" s="21">
        <v>69500</v>
      </c>
      <c r="F119" s="22"/>
      <c r="G119" s="22">
        <v>0</v>
      </c>
      <c r="H119" s="22">
        <v>0</v>
      </c>
      <c r="I119" s="22">
        <v>13000</v>
      </c>
      <c r="J119"/>
      <c r="K119" s="2"/>
    </row>
    <row r="120" spans="1:21" s="3" customFormat="1" x14ac:dyDescent="0.3">
      <c r="A120" s="7">
        <v>46245</v>
      </c>
      <c r="B120" s="8" t="s">
        <v>43</v>
      </c>
      <c r="C120" s="8" t="s">
        <v>56</v>
      </c>
      <c r="D120" s="8" t="s">
        <v>136</v>
      </c>
      <c r="E120" s="21">
        <v>1365</v>
      </c>
      <c r="F120" s="22"/>
      <c r="G120" s="22">
        <v>0</v>
      </c>
      <c r="H120" s="22">
        <v>-10</v>
      </c>
      <c r="I120" s="22">
        <v>185</v>
      </c>
      <c r="J120"/>
      <c r="K120" s="2"/>
    </row>
    <row r="121" spans="1:21" s="3" customFormat="1" x14ac:dyDescent="0.3">
      <c r="A121" s="7">
        <v>46245</v>
      </c>
      <c r="B121" s="8" t="s">
        <v>43</v>
      </c>
      <c r="C121" s="8" t="s">
        <v>50</v>
      </c>
      <c r="D121" s="8" t="s">
        <v>136</v>
      </c>
      <c r="E121" s="21">
        <v>1540</v>
      </c>
      <c r="F121" s="22">
        <v>20</v>
      </c>
      <c r="G121" s="22">
        <v>15</v>
      </c>
      <c r="H121" s="22">
        <v>50</v>
      </c>
      <c r="I121" s="22">
        <v>280</v>
      </c>
      <c r="J121"/>
      <c r="K121" s="2"/>
    </row>
    <row r="122" spans="1:21" s="3" customFormat="1" x14ac:dyDescent="0.3">
      <c r="A122" s="7">
        <v>46245</v>
      </c>
      <c r="B122" s="8" t="s">
        <v>42</v>
      </c>
      <c r="C122" s="8" t="s">
        <v>38</v>
      </c>
      <c r="D122" s="8" t="s">
        <v>137</v>
      </c>
      <c r="E122" s="21">
        <v>545</v>
      </c>
      <c r="F122" s="22"/>
      <c r="G122" s="22">
        <v>-10</v>
      </c>
      <c r="H122" s="22">
        <v>-30</v>
      </c>
      <c r="I122" s="22">
        <v>60</v>
      </c>
      <c r="J122"/>
      <c r="K122" s="2"/>
    </row>
    <row r="123" spans="1:21" s="3" customFormat="1" x14ac:dyDescent="0.3">
      <c r="A123" s="7">
        <v>46245</v>
      </c>
      <c r="B123" s="8" t="s">
        <v>42</v>
      </c>
      <c r="C123" s="8" t="s">
        <v>41</v>
      </c>
      <c r="D123" s="8" t="s">
        <v>139</v>
      </c>
      <c r="E123" s="21">
        <v>30750</v>
      </c>
      <c r="F123" s="22"/>
      <c r="G123" s="22">
        <v>0</v>
      </c>
      <c r="H123" s="22">
        <v>-2750</v>
      </c>
      <c r="I123" s="22">
        <v>4550</v>
      </c>
      <c r="J123"/>
      <c r="K123" s="2"/>
    </row>
    <row r="124" spans="1:21" customFormat="1" x14ac:dyDescent="0.3">
      <c r="A124" s="7">
        <v>46245</v>
      </c>
      <c r="B124" s="8" t="s">
        <v>42</v>
      </c>
      <c r="C124" s="8" t="s">
        <v>41</v>
      </c>
      <c r="D124" s="8" t="s">
        <v>138</v>
      </c>
      <c r="E124" s="21">
        <v>30000</v>
      </c>
      <c r="F124" s="22"/>
      <c r="G124" s="22">
        <v>0</v>
      </c>
      <c r="H124" s="22">
        <v>-2500</v>
      </c>
      <c r="I124" s="22">
        <v>4500</v>
      </c>
    </row>
    <row r="125" spans="1:21" customFormat="1" x14ac:dyDescent="0.3">
      <c r="A125" s="7">
        <v>46245</v>
      </c>
      <c r="B125" s="8" t="s">
        <v>42</v>
      </c>
      <c r="C125" s="8" t="s">
        <v>52</v>
      </c>
      <c r="D125" s="8" t="s">
        <v>136</v>
      </c>
      <c r="E125" s="21">
        <v>630</v>
      </c>
      <c r="F125" s="22"/>
      <c r="G125" s="22">
        <v>-20</v>
      </c>
      <c r="H125" s="22">
        <v>-40</v>
      </c>
      <c r="I125" s="22">
        <v>110</v>
      </c>
    </row>
    <row r="126" spans="1:21" x14ac:dyDescent="0.3">
      <c r="A126" s="7">
        <v>46245</v>
      </c>
      <c r="B126" s="8" t="s">
        <v>42</v>
      </c>
      <c r="C126" s="8" t="s">
        <v>53</v>
      </c>
      <c r="D126" s="8" t="s">
        <v>136</v>
      </c>
      <c r="E126" s="21">
        <v>630</v>
      </c>
      <c r="F126" s="22"/>
      <c r="G126" s="22">
        <v>-20</v>
      </c>
      <c r="H126" s="22">
        <v>-40</v>
      </c>
      <c r="I126" s="22">
        <v>110</v>
      </c>
    </row>
    <row r="127" spans="1:21" x14ac:dyDescent="0.3">
      <c r="A127"/>
      <c r="B127"/>
      <c r="C127"/>
      <c r="D127"/>
      <c r="E127"/>
      <c r="F127"/>
      <c r="G127"/>
      <c r="H127"/>
      <c r="I127"/>
    </row>
    <row r="128" spans="1:21" x14ac:dyDescent="0.3">
      <c r="A128"/>
      <c r="B128"/>
      <c r="C128"/>
      <c r="D128"/>
      <c r="E128"/>
      <c r="F128"/>
      <c r="G128"/>
      <c r="H128"/>
      <c r="I128"/>
    </row>
    <row r="129" spans="1:9" x14ac:dyDescent="0.3">
      <c r="A129"/>
      <c r="B129"/>
      <c r="C129"/>
      <c r="D129"/>
      <c r="E129"/>
      <c r="F129"/>
      <c r="G129"/>
      <c r="H129"/>
      <c r="I129"/>
    </row>
    <row r="130" spans="1:9" x14ac:dyDescent="0.3">
      <c r="A130"/>
      <c r="B130"/>
      <c r="C130"/>
      <c r="D130"/>
      <c r="E130"/>
      <c r="F130"/>
      <c r="G130"/>
      <c r="H130"/>
      <c r="I130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26">
    <sortCondition ref="B90:B126"/>
    <sortCondition descending="1" ref="C90:C126"/>
    <sortCondition ref="D90:D126"/>
  </sortState>
  <mergeCells count="3">
    <mergeCell ref="A9:I9"/>
    <mergeCell ref="A23:I23"/>
    <mergeCell ref="A87:I87"/>
  </mergeCells>
  <conditionalFormatting sqref="F26:I26 G27:I84 F27:F85 F90:F126">
    <cfRule type="cellIs" dxfId="91" priority="44" operator="equal">
      <formula>0</formula>
    </cfRule>
    <cfRule type="cellIs" dxfId="90" priority="45" operator="lessThan">
      <formula>0</formula>
    </cfRule>
    <cfRule type="cellIs" dxfId="89" priority="46" operator="greaterThan">
      <formula>0</formula>
    </cfRule>
  </conditionalFormatting>
  <conditionalFormatting sqref="F12:I12 G13:I20 F13:F21">
    <cfRule type="cellIs" dxfId="88" priority="41" operator="equal">
      <formula>0</formula>
    </cfRule>
    <cfRule type="cellIs" dxfId="87" priority="42" operator="lessThan">
      <formula>0</formula>
    </cfRule>
    <cfRule type="cellIs" dxfId="86" priority="43" operator="greaterThan">
      <formula>0</formula>
    </cfRule>
  </conditionalFormatting>
  <conditionalFormatting sqref="G85:I85">
    <cfRule type="cellIs" dxfId="85" priority="38" operator="equal">
      <formula>0</formula>
    </cfRule>
    <cfRule type="cellIs" dxfId="84" priority="39" operator="lessThan">
      <formula>0</formula>
    </cfRule>
    <cfRule type="cellIs" dxfId="83" priority="40" operator="greaterThan">
      <formula>0</formula>
    </cfRule>
  </conditionalFormatting>
  <conditionalFormatting sqref="G21:I21">
    <cfRule type="cellIs" dxfId="82" priority="35" operator="equal">
      <formula>0</formula>
    </cfRule>
    <cfRule type="cellIs" dxfId="81" priority="36" operator="lessThan">
      <formula>0</formula>
    </cfRule>
    <cfRule type="cellIs" dxfId="80" priority="37" operator="greaterThan">
      <formula>0</formula>
    </cfRule>
  </conditionalFormatting>
  <conditionalFormatting sqref="F26:F85 F90:F126">
    <cfRule type="cellIs" dxfId="79" priority="34" operator="equal">
      <formula>0</formula>
    </cfRule>
  </conditionalFormatting>
  <conditionalFormatting sqref="F12:F21">
    <cfRule type="cellIs" dxfId="78" priority="33" operator="equal">
      <formula>0</formula>
    </cfRule>
  </conditionalFormatting>
  <conditionalFormatting sqref="G90:I123">
    <cfRule type="cellIs" dxfId="77" priority="30" operator="equal">
      <formula>0</formula>
    </cfRule>
    <cfRule type="cellIs" dxfId="76" priority="31" operator="lessThan">
      <formula>0</formula>
    </cfRule>
    <cfRule type="cellIs" dxfId="75" priority="32" operator="greaterThan">
      <formula>0</formula>
    </cfRule>
  </conditionalFormatting>
  <conditionalFormatting sqref="G90:I123">
    <cfRule type="cellIs" dxfId="74" priority="29" operator="equal">
      <formula>0</formula>
    </cfRule>
  </conditionalFormatting>
  <conditionalFormatting sqref="G124:I124">
    <cfRule type="cellIs" dxfId="73" priority="26" operator="equal">
      <formula>0</formula>
    </cfRule>
    <cfRule type="cellIs" dxfId="72" priority="27" operator="lessThan">
      <formula>0</formula>
    </cfRule>
    <cfRule type="cellIs" dxfId="71" priority="28" operator="greaterThan">
      <formula>0</formula>
    </cfRule>
  </conditionalFormatting>
  <conditionalFormatting sqref="G124:I124">
    <cfRule type="cellIs" dxfId="70" priority="25" operator="equal">
      <formula>0</formula>
    </cfRule>
  </conditionalFormatting>
  <conditionalFormatting sqref="G125:I125">
    <cfRule type="cellIs" dxfId="69" priority="22" operator="equal">
      <formula>0</formula>
    </cfRule>
    <cfRule type="cellIs" dxfId="68" priority="23" operator="lessThan">
      <formula>0</formula>
    </cfRule>
    <cfRule type="cellIs" dxfId="67" priority="24" operator="greaterThan">
      <formula>0</formula>
    </cfRule>
  </conditionalFormatting>
  <conditionalFormatting sqref="G125:I125">
    <cfRule type="cellIs" dxfId="66" priority="21" operator="equal">
      <formula>0</formula>
    </cfRule>
  </conditionalFormatting>
  <conditionalFormatting sqref="G126:I126">
    <cfRule type="cellIs" dxfId="65" priority="18" operator="equal">
      <formula>0</formula>
    </cfRule>
    <cfRule type="cellIs" dxfId="64" priority="19" operator="lessThan">
      <formula>0</formula>
    </cfRule>
    <cfRule type="cellIs" dxfId="63" priority="20" operator="greaterThan">
      <formula>0</formula>
    </cfRule>
  </conditionalFormatting>
  <conditionalFormatting sqref="G126:I126">
    <cfRule type="cellIs" dxfId="62" priority="17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0B98-A6C2-4142-B37E-DDB39ECAF130}">
  <sheetPr>
    <pageSetUpPr fitToPage="1"/>
  </sheetPr>
  <dimension ref="A1:X130"/>
  <sheetViews>
    <sheetView showGridLines="0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46245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46245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46245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46245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46245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46245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46245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46245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46245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46245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46245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46245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220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46245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220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46245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206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46245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46245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46245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46245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46245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46245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46245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46245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46245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46245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46245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46245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46245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46245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46245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46245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46245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46245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46245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46245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46245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46245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46245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46245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46245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46245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46245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46245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46245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46245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46245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46245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46245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46245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46245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46245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46245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46245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46245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46245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256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46245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268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46245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316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46245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46245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46245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46245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46245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46245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46245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46245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46245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46245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46245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483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46245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482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46245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454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46245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480</v>
      </c>
      <c r="I80" s="9">
        <v>490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46245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46245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46245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623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46245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46245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46245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1350</v>
      </c>
      <c r="I86" s="9">
        <v>1360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46245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1540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46245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46245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1194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46245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1112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46245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250</v>
      </c>
      <c r="I91" s="9">
        <v>260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46245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46245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46245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338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46245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46245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46245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46245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46245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46245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46245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46245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46245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46245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46245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46245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46245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/>
      <c r="B108"/>
      <c r="C108"/>
      <c r="D108"/>
      <c r="E108"/>
      <c r="F108"/>
      <c r="G108"/>
      <c r="H108"/>
      <c r="I108"/>
      <c r="K108"/>
      <c r="L108"/>
      <c r="M108"/>
      <c r="N108"/>
    </row>
    <row r="109" spans="1:14" x14ac:dyDescent="0.3">
      <c r="A109"/>
      <c r="B109"/>
      <c r="C109"/>
      <c r="D109"/>
      <c r="E109"/>
      <c r="F109"/>
      <c r="G109"/>
      <c r="H109"/>
      <c r="I109"/>
      <c r="K109"/>
      <c r="L109"/>
      <c r="M109"/>
      <c r="N109"/>
    </row>
    <row r="110" spans="1:14" x14ac:dyDescent="0.3">
      <c r="A110"/>
      <c r="B110"/>
      <c r="C110"/>
      <c r="D110"/>
      <c r="E110"/>
      <c r="F110"/>
      <c r="G110"/>
      <c r="H110"/>
      <c r="I110"/>
      <c r="K110"/>
      <c r="L110"/>
      <c r="M110"/>
      <c r="N110"/>
    </row>
    <row r="111" spans="1:14" x14ac:dyDescent="0.3">
      <c r="A111"/>
      <c r="B111"/>
      <c r="C111"/>
      <c r="D111"/>
      <c r="E111"/>
      <c r="F111"/>
      <c r="G111"/>
      <c r="H111"/>
      <c r="I111"/>
      <c r="K111"/>
      <c r="L111"/>
      <c r="M111"/>
      <c r="N111"/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AEC6-5A31-4384-9036-6C7333FBD461}">
  <sheetPr>
    <pageSetUpPr fitToPage="1"/>
  </sheetPr>
  <dimension ref="A9:W130"/>
  <sheetViews>
    <sheetView showGridLines="0" zoomScale="81" zoomScaleNormal="81" workbookViewId="0">
      <selection activeCell="E90" sqref="E90:I126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46241</v>
      </c>
      <c r="B12" s="8" t="s">
        <v>132</v>
      </c>
      <c r="C12" s="8" t="s">
        <v>10</v>
      </c>
      <c r="D12" s="8" t="s">
        <v>133</v>
      </c>
      <c r="E12" s="12">
        <v>256.5</v>
      </c>
      <c r="F12" s="17">
        <v>1.25</v>
      </c>
      <c r="G12" s="17">
        <v>-3.5</v>
      </c>
      <c r="H12" s="17">
        <v>5.25</v>
      </c>
      <c r="I12" s="17">
        <v>16.5</v>
      </c>
      <c r="K12" s="13"/>
    </row>
    <row r="13" spans="1:21" customFormat="1" x14ac:dyDescent="0.3">
      <c r="A13" s="7">
        <v>46241</v>
      </c>
      <c r="B13" s="8" t="s">
        <v>12</v>
      </c>
      <c r="C13" s="8" t="s">
        <v>13</v>
      </c>
      <c r="D13" s="8" t="s">
        <v>14</v>
      </c>
      <c r="E13" s="12">
        <v>248.25</v>
      </c>
      <c r="F13" s="17">
        <v>1.75</v>
      </c>
      <c r="G13" s="17">
        <v>5.5</v>
      </c>
      <c r="H13" s="17">
        <v>24</v>
      </c>
      <c r="I13" s="17">
        <v>55.75</v>
      </c>
      <c r="K13" s="13"/>
    </row>
    <row r="14" spans="1:21" customFormat="1" x14ac:dyDescent="0.3">
      <c r="A14" s="7">
        <v>46241</v>
      </c>
      <c r="B14" s="8" t="s">
        <v>12</v>
      </c>
      <c r="C14" s="8" t="s">
        <v>10</v>
      </c>
      <c r="D14" s="8" t="s">
        <v>15</v>
      </c>
      <c r="E14" s="12">
        <v>439</v>
      </c>
      <c r="F14" s="17"/>
      <c r="G14" s="17">
        <v>-1.6</v>
      </c>
      <c r="H14" s="17">
        <v>-47</v>
      </c>
      <c r="I14" s="17">
        <v>54.6</v>
      </c>
      <c r="K14" s="13"/>
    </row>
    <row r="15" spans="1:21" customFormat="1" x14ac:dyDescent="0.3">
      <c r="A15" s="7">
        <v>46241</v>
      </c>
      <c r="B15" s="8" t="s">
        <v>16</v>
      </c>
      <c r="C15" s="8" t="s">
        <v>10</v>
      </c>
      <c r="D15" s="8" t="s">
        <v>15</v>
      </c>
      <c r="E15" s="12">
        <v>639.6</v>
      </c>
      <c r="F15" s="17">
        <v>8.4</v>
      </c>
      <c r="G15" s="17">
        <v>0.4</v>
      </c>
      <c r="H15" s="17">
        <v>-44.8</v>
      </c>
      <c r="I15" s="17">
        <v>121.4</v>
      </c>
      <c r="K15" s="13"/>
    </row>
    <row r="16" spans="1:21" x14ac:dyDescent="0.3">
      <c r="A16" s="7">
        <v>46241</v>
      </c>
      <c r="B16" s="8" t="s">
        <v>17</v>
      </c>
      <c r="C16" s="8" t="s">
        <v>13</v>
      </c>
      <c r="D16" s="8" t="s">
        <v>14</v>
      </c>
      <c r="E16" s="12">
        <v>223</v>
      </c>
      <c r="F16" s="17">
        <v>3.25</v>
      </c>
      <c r="G16" s="17">
        <v>0.25</v>
      </c>
      <c r="H16" s="17">
        <v>-1.75</v>
      </c>
      <c r="I16" s="17">
        <v>25.5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46241</v>
      </c>
      <c r="B17" s="8" t="s">
        <v>18</v>
      </c>
      <c r="C17" s="8" t="s">
        <v>10</v>
      </c>
      <c r="D17" s="8" t="s">
        <v>11</v>
      </c>
      <c r="E17" s="12">
        <v>286.75</v>
      </c>
      <c r="F17" s="17">
        <v>-1</v>
      </c>
      <c r="G17" s="17">
        <v>-0.25</v>
      </c>
      <c r="H17" s="17">
        <v>15</v>
      </c>
      <c r="I17" s="17">
        <v>28.5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46241</v>
      </c>
      <c r="B18" s="8" t="s">
        <v>19</v>
      </c>
      <c r="C18" s="8" t="s">
        <v>13</v>
      </c>
      <c r="D18" s="8" t="s">
        <v>14</v>
      </c>
      <c r="E18" s="12">
        <v>533.25</v>
      </c>
      <c r="F18" s="17">
        <v>7</v>
      </c>
      <c r="G18" s="17">
        <v>20.25</v>
      </c>
      <c r="H18" s="17">
        <v>38.5</v>
      </c>
      <c r="I18" s="17">
        <v>59.5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46241</v>
      </c>
      <c r="B19" s="8" t="s">
        <v>20</v>
      </c>
      <c r="C19" s="8" t="s">
        <v>10</v>
      </c>
      <c r="D19" s="8" t="s">
        <v>15</v>
      </c>
      <c r="E19" s="12">
        <v>1156.4000000000001</v>
      </c>
      <c r="F19" s="17">
        <v>-0.8</v>
      </c>
      <c r="G19" s="17">
        <v>-15.6</v>
      </c>
      <c r="H19" s="17">
        <v>-40.200000000000003</v>
      </c>
      <c r="I19" s="17">
        <v>184.8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46241</v>
      </c>
      <c r="B20" s="8" t="s">
        <v>21</v>
      </c>
      <c r="C20" s="8" t="s">
        <v>10</v>
      </c>
      <c r="D20" s="8" t="s">
        <v>15</v>
      </c>
      <c r="E20" s="12">
        <v>308.10000000000002</v>
      </c>
      <c r="F20" s="17">
        <v>-2.6</v>
      </c>
      <c r="G20" s="17">
        <v>-4.0999999999999996</v>
      </c>
      <c r="H20" s="17">
        <v>-10.3</v>
      </c>
      <c r="I20" s="17">
        <v>35.4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46241</v>
      </c>
      <c r="B21" s="8" t="s">
        <v>22</v>
      </c>
      <c r="C21" s="8" t="s">
        <v>10</v>
      </c>
      <c r="D21" s="8" t="s">
        <v>122</v>
      </c>
      <c r="E21" s="12">
        <v>68.16</v>
      </c>
      <c r="F21" s="17">
        <v>0.46</v>
      </c>
      <c r="G21" s="17">
        <v>1.04</v>
      </c>
      <c r="H21" s="17">
        <v>-0.63</v>
      </c>
      <c r="I21" s="17">
        <v>14.62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46244</v>
      </c>
      <c r="B26" s="8" t="s">
        <v>25</v>
      </c>
      <c r="C26" s="8" t="s">
        <v>55</v>
      </c>
      <c r="D26" s="8" t="s">
        <v>135</v>
      </c>
      <c r="E26" s="21">
        <v>175</v>
      </c>
      <c r="F26" s="22">
        <v>0</v>
      </c>
      <c r="G26" s="23">
        <v>-18</v>
      </c>
      <c r="H26" s="24">
        <v>-13</v>
      </c>
      <c r="I26" s="24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>
        <v>0</v>
      </c>
      <c r="G27" s="23"/>
      <c r="H27" s="23"/>
      <c r="I27" s="23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46244</v>
      </c>
      <c r="B28" s="8" t="s">
        <v>25</v>
      </c>
      <c r="C28" s="8" t="s">
        <v>143</v>
      </c>
      <c r="D28" s="8" t="s">
        <v>136</v>
      </c>
      <c r="E28" s="21">
        <v>197.5</v>
      </c>
      <c r="F28" s="22">
        <v>0</v>
      </c>
      <c r="G28" s="23">
        <v>0</v>
      </c>
      <c r="H28" s="23">
        <v>0</v>
      </c>
      <c r="I28" s="23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>
        <v>0</v>
      </c>
      <c r="G29" s="23"/>
      <c r="H29" s="23"/>
      <c r="I29" s="23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46244</v>
      </c>
      <c r="B30" s="8" t="s">
        <v>25</v>
      </c>
      <c r="C30" s="8" t="s">
        <v>41</v>
      </c>
      <c r="D30" s="8" t="s">
        <v>139</v>
      </c>
      <c r="E30" s="21">
        <v>7950</v>
      </c>
      <c r="F30" s="22">
        <v>0</v>
      </c>
      <c r="G30" s="23">
        <v>-100</v>
      </c>
      <c r="H30" s="16">
        <v>-1700</v>
      </c>
      <c r="I30" s="24">
        <v>-2400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46244</v>
      </c>
      <c r="B31" s="8" t="s">
        <v>25</v>
      </c>
      <c r="C31" s="8" t="s">
        <v>41</v>
      </c>
      <c r="D31" s="8" t="s">
        <v>138</v>
      </c>
      <c r="E31" s="21">
        <v>6750</v>
      </c>
      <c r="F31" s="22">
        <v>0</v>
      </c>
      <c r="G31" s="23">
        <v>0</v>
      </c>
      <c r="H31" s="23">
        <v>-2000</v>
      </c>
      <c r="I31" s="23">
        <v>-3000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46244</v>
      </c>
      <c r="B32" s="8" t="s">
        <v>25</v>
      </c>
      <c r="C32" s="8" t="s">
        <v>57</v>
      </c>
      <c r="D32" s="8" t="s">
        <v>136</v>
      </c>
      <c r="E32" s="21">
        <v>192.5</v>
      </c>
      <c r="F32" s="22">
        <v>0</v>
      </c>
      <c r="G32" s="16">
        <v>-5</v>
      </c>
      <c r="H32" s="16">
        <v>0</v>
      </c>
      <c r="I32" s="16">
        <v>-8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192.5</v>
      </c>
      <c r="F33" s="22">
        <v>0</v>
      </c>
      <c r="G33" s="16"/>
      <c r="H33" s="16"/>
      <c r="I33" s="16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46244</v>
      </c>
      <c r="B34" s="8" t="s">
        <v>25</v>
      </c>
      <c r="C34" s="8" t="s">
        <v>40</v>
      </c>
      <c r="D34" s="8" t="s">
        <v>136</v>
      </c>
      <c r="E34" s="21">
        <v>202.5</v>
      </c>
      <c r="F34" s="22">
        <v>0</v>
      </c>
      <c r="G34" s="16">
        <v>-5</v>
      </c>
      <c r="H34" s="16">
        <v>0</v>
      </c>
      <c r="I34" s="24">
        <v>-18.5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202.5</v>
      </c>
      <c r="F35" s="22">
        <v>0</v>
      </c>
      <c r="G35" s="16"/>
      <c r="H35" s="16"/>
      <c r="I35" s="16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46244</v>
      </c>
      <c r="B36" s="8" t="s">
        <v>25</v>
      </c>
      <c r="C36" s="8" t="s">
        <v>6</v>
      </c>
      <c r="D36" s="8" t="s">
        <v>136</v>
      </c>
      <c r="E36" s="21">
        <v>248</v>
      </c>
      <c r="F36" s="22">
        <v>0</v>
      </c>
      <c r="G36" s="16">
        <v>-2</v>
      </c>
      <c r="H36" s="16">
        <v>20</v>
      </c>
      <c r="I36" s="16">
        <v>27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46244</v>
      </c>
      <c r="B37" s="8" t="s">
        <v>25</v>
      </c>
      <c r="C37" s="8" t="s">
        <v>24</v>
      </c>
      <c r="D37" s="8" t="s">
        <v>136</v>
      </c>
      <c r="E37" s="21">
        <v>225.5</v>
      </c>
      <c r="F37" s="22">
        <v>0</v>
      </c>
      <c r="G37" s="23">
        <v>-2</v>
      </c>
      <c r="H37" s="23">
        <v>18</v>
      </c>
      <c r="I37" s="23">
        <v>-2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46244</v>
      </c>
      <c r="B38" s="8" t="s">
        <v>25</v>
      </c>
      <c r="C38" s="8" t="s">
        <v>54</v>
      </c>
      <c r="D38" s="8" t="s">
        <v>136</v>
      </c>
      <c r="E38" s="21">
        <v>267</v>
      </c>
      <c r="F38" s="22">
        <v>0</v>
      </c>
      <c r="G38" s="16">
        <v>0</v>
      </c>
      <c r="H38" s="16">
        <v>0</v>
      </c>
      <c r="I38" s="16">
        <v>24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46244</v>
      </c>
      <c r="B39" s="8" t="s">
        <v>23</v>
      </c>
      <c r="C39" s="8" t="s">
        <v>29</v>
      </c>
      <c r="D39" s="8" t="s">
        <v>136</v>
      </c>
      <c r="E39" s="21">
        <v>220</v>
      </c>
      <c r="F39" s="22">
        <v>0</v>
      </c>
      <c r="G39" s="23">
        <v>0</v>
      </c>
      <c r="H39" s="23">
        <v>6</v>
      </c>
      <c r="I39" s="23">
        <v>23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46244</v>
      </c>
      <c r="B40" s="8" t="s">
        <v>23</v>
      </c>
      <c r="C40" s="8" t="s">
        <v>38</v>
      </c>
      <c r="D40" s="8" t="s">
        <v>137</v>
      </c>
      <c r="E40" s="21">
        <v>217.5</v>
      </c>
      <c r="F40" s="22">
        <v>0</v>
      </c>
      <c r="G40" s="23">
        <v>-5</v>
      </c>
      <c r="H40" s="23">
        <v>0</v>
      </c>
      <c r="I40" s="23">
        <v>-10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224.5</v>
      </c>
      <c r="F41" s="22">
        <v>0</v>
      </c>
      <c r="G41" s="23"/>
      <c r="H41" s="23"/>
      <c r="I41" s="23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46244</v>
      </c>
      <c r="B42" s="8" t="s">
        <v>23</v>
      </c>
      <c r="C42" s="8" t="s">
        <v>55</v>
      </c>
      <c r="D42" s="8" t="s">
        <v>135</v>
      </c>
      <c r="E42" s="21">
        <v>192.5</v>
      </c>
      <c r="F42" s="22">
        <v>0</v>
      </c>
      <c r="G42" s="23">
        <v>-20</v>
      </c>
      <c r="H42" s="24">
        <v>-23</v>
      </c>
      <c r="I42" s="24">
        <v>-15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216</v>
      </c>
      <c r="F43" s="22">
        <v>0</v>
      </c>
      <c r="G43" s="23"/>
      <c r="H43" s="23"/>
      <c r="I43" s="2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46244</v>
      </c>
      <c r="B44" s="8" t="s">
        <v>23</v>
      </c>
      <c r="C44" s="8" t="s">
        <v>143</v>
      </c>
      <c r="D44" s="8" t="s">
        <v>136</v>
      </c>
      <c r="E44" s="21">
        <v>202.5</v>
      </c>
      <c r="F44" s="22">
        <v>0</v>
      </c>
      <c r="G44" s="16">
        <v>-23</v>
      </c>
      <c r="H44" s="16">
        <v>-25</v>
      </c>
      <c r="I44" s="16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>
        <v>0</v>
      </c>
      <c r="G45" s="16"/>
      <c r="H45" s="16"/>
      <c r="I45" s="24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46244</v>
      </c>
      <c r="B46" s="8" t="s">
        <v>23</v>
      </c>
      <c r="C46" s="8" t="s">
        <v>41</v>
      </c>
      <c r="D46" s="8" t="s">
        <v>139</v>
      </c>
      <c r="E46" s="21">
        <v>8500</v>
      </c>
      <c r="F46" s="22">
        <v>0</v>
      </c>
      <c r="G46" s="16">
        <v>-750</v>
      </c>
      <c r="H46" s="16">
        <v>-2150</v>
      </c>
      <c r="I46" s="16">
        <v>-2950</v>
      </c>
    </row>
    <row r="47" spans="1:23" customFormat="1" x14ac:dyDescent="0.3">
      <c r="A47" s="7">
        <v>46244</v>
      </c>
      <c r="B47" s="8" t="s">
        <v>23</v>
      </c>
      <c r="C47" s="8" t="s">
        <v>41</v>
      </c>
      <c r="D47" s="8" t="s">
        <v>138</v>
      </c>
      <c r="E47" s="21">
        <v>8000</v>
      </c>
      <c r="F47" s="22">
        <v>0</v>
      </c>
      <c r="G47" s="16">
        <v>-750</v>
      </c>
      <c r="H47" s="16">
        <v>-1550</v>
      </c>
      <c r="I47" s="16">
        <v>-2150</v>
      </c>
    </row>
    <row r="48" spans="1:23" customFormat="1" x14ac:dyDescent="0.3">
      <c r="A48" s="7">
        <v>46244</v>
      </c>
      <c r="B48" s="8" t="s">
        <v>23</v>
      </c>
      <c r="C48" s="8" t="s">
        <v>57</v>
      </c>
      <c r="D48" s="8" t="s">
        <v>136</v>
      </c>
      <c r="E48" s="21">
        <v>207.5</v>
      </c>
      <c r="F48" s="22">
        <v>0</v>
      </c>
      <c r="G48" s="23">
        <v>-5</v>
      </c>
      <c r="H48" s="23">
        <v>-10</v>
      </c>
      <c r="I48" s="23">
        <v>-15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212.5</v>
      </c>
      <c r="F49" s="22">
        <v>0</v>
      </c>
      <c r="G49" s="16"/>
      <c r="H49" s="16"/>
      <c r="I49" s="16"/>
    </row>
    <row r="50" spans="1:9" customFormat="1" x14ac:dyDescent="0.3">
      <c r="A50" s="7">
        <v>46244</v>
      </c>
      <c r="B50" s="8" t="s">
        <v>23</v>
      </c>
      <c r="C50" s="8" t="s">
        <v>40</v>
      </c>
      <c r="D50" s="8" t="s">
        <v>136</v>
      </c>
      <c r="E50" s="21">
        <v>217.5</v>
      </c>
      <c r="F50" s="22">
        <v>0</v>
      </c>
      <c r="G50" s="16">
        <v>-7.5</v>
      </c>
      <c r="H50" s="16">
        <v>-10</v>
      </c>
      <c r="I50" s="16">
        <v>-20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225</v>
      </c>
      <c r="F51" s="22">
        <v>0</v>
      </c>
      <c r="G51" s="23"/>
      <c r="H51" s="23"/>
      <c r="I51" s="23"/>
    </row>
    <row r="52" spans="1:9" customFormat="1" x14ac:dyDescent="0.3">
      <c r="A52" s="7">
        <v>46244</v>
      </c>
      <c r="B52" s="8" t="s">
        <v>23</v>
      </c>
      <c r="C52" s="8" t="s">
        <v>24</v>
      </c>
      <c r="D52" s="8" t="s">
        <v>136</v>
      </c>
      <c r="E52" s="21">
        <v>252.5</v>
      </c>
      <c r="F52" s="22">
        <v>0</v>
      </c>
      <c r="G52" s="16">
        <v>-1</v>
      </c>
      <c r="H52" s="16">
        <v>15</v>
      </c>
      <c r="I52" s="16">
        <v>5</v>
      </c>
    </row>
    <row r="53" spans="1:9" customFormat="1" x14ac:dyDescent="0.3">
      <c r="A53" s="7">
        <v>46244</v>
      </c>
      <c r="B53" s="8" t="s">
        <v>23</v>
      </c>
      <c r="C53" s="8" t="s">
        <v>58</v>
      </c>
      <c r="D53" s="8" t="s">
        <v>136</v>
      </c>
      <c r="E53" s="21">
        <v>220</v>
      </c>
      <c r="F53" s="22">
        <v>0</v>
      </c>
      <c r="G53" s="16">
        <v>0</v>
      </c>
      <c r="H53" s="16">
        <v>2</v>
      </c>
      <c r="I53" s="16">
        <v>10</v>
      </c>
    </row>
    <row r="54" spans="1:9" customFormat="1" x14ac:dyDescent="0.3">
      <c r="A54" s="7">
        <v>46244</v>
      </c>
      <c r="B54" s="8" t="s">
        <v>23</v>
      </c>
      <c r="C54" s="8" t="s">
        <v>5</v>
      </c>
      <c r="D54" s="8" t="s">
        <v>136</v>
      </c>
      <c r="E54" s="21">
        <v>206</v>
      </c>
      <c r="F54" s="22">
        <v>0</v>
      </c>
      <c r="G54" s="16">
        <v>0</v>
      </c>
      <c r="H54" s="16">
        <v>4</v>
      </c>
      <c r="I54" s="16">
        <v>6</v>
      </c>
    </row>
    <row r="55" spans="1:9" customFormat="1" x14ac:dyDescent="0.3">
      <c r="A55" s="7">
        <v>46244</v>
      </c>
      <c r="B55" s="8" t="s">
        <v>27</v>
      </c>
      <c r="C55" s="8" t="s">
        <v>55</v>
      </c>
      <c r="D55" s="8" t="s">
        <v>135</v>
      </c>
      <c r="E55" s="21">
        <v>167.5</v>
      </c>
      <c r="F55" s="22">
        <v>0</v>
      </c>
      <c r="G55" s="23">
        <v>-27</v>
      </c>
      <c r="H55" s="23">
        <v>-28</v>
      </c>
      <c r="I55" s="23">
        <v>-48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167.5</v>
      </c>
      <c r="F56" s="22">
        <v>0</v>
      </c>
      <c r="G56" s="16"/>
      <c r="H56" s="16"/>
      <c r="I56" s="16"/>
    </row>
    <row r="57" spans="1:9" customFormat="1" x14ac:dyDescent="0.3">
      <c r="A57" s="7">
        <v>46244</v>
      </c>
      <c r="B57" s="8" t="s">
        <v>27</v>
      </c>
      <c r="C57" s="8" t="s">
        <v>143</v>
      </c>
      <c r="D57" s="8" t="s">
        <v>136</v>
      </c>
      <c r="E57" s="21">
        <v>187.5</v>
      </c>
      <c r="F57" s="22">
        <v>0</v>
      </c>
      <c r="G57" s="23">
        <v>-30</v>
      </c>
      <c r="H57" s="23">
        <v>0</v>
      </c>
      <c r="I57" s="23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>
        <v>0</v>
      </c>
      <c r="G58" s="24"/>
      <c r="H58" s="16"/>
      <c r="I58" s="24"/>
    </row>
    <row r="59" spans="1:9" customFormat="1" x14ac:dyDescent="0.3">
      <c r="A59" s="7">
        <v>46244</v>
      </c>
      <c r="B59" s="8" t="s">
        <v>27</v>
      </c>
      <c r="C59" s="8" t="s">
        <v>41</v>
      </c>
      <c r="D59" s="8" t="s">
        <v>139</v>
      </c>
      <c r="E59" s="21">
        <v>8250</v>
      </c>
      <c r="F59" s="22">
        <v>0</v>
      </c>
      <c r="G59" s="23">
        <v>0</v>
      </c>
      <c r="H59" s="23">
        <v>-1500</v>
      </c>
      <c r="I59" s="23">
        <v>-2000</v>
      </c>
    </row>
    <row r="60" spans="1:9" customFormat="1" x14ac:dyDescent="0.3">
      <c r="A60" s="7">
        <v>46244</v>
      </c>
      <c r="B60" s="8" t="s">
        <v>27</v>
      </c>
      <c r="C60" s="8" t="s">
        <v>41</v>
      </c>
      <c r="D60" s="8" t="s">
        <v>138</v>
      </c>
      <c r="E60" s="21">
        <v>6500</v>
      </c>
      <c r="F60" s="22">
        <v>0</v>
      </c>
      <c r="G60" s="16">
        <v>0</v>
      </c>
      <c r="H60" s="16">
        <v>-2250</v>
      </c>
      <c r="I60" s="16">
        <v>-3050</v>
      </c>
    </row>
    <row r="61" spans="1:9" customFormat="1" x14ac:dyDescent="0.3">
      <c r="A61" s="7">
        <v>46244</v>
      </c>
      <c r="B61" s="8" t="s">
        <v>27</v>
      </c>
      <c r="C61" s="8" t="s">
        <v>40</v>
      </c>
      <c r="D61" s="8" t="s">
        <v>136</v>
      </c>
      <c r="E61" s="21">
        <v>187.5</v>
      </c>
      <c r="F61" s="22">
        <v>0</v>
      </c>
      <c r="G61" s="16">
        <v>-3</v>
      </c>
      <c r="H61" s="16">
        <v>-10</v>
      </c>
      <c r="I61" s="16">
        <v>-25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187.5</v>
      </c>
      <c r="F62" s="22">
        <v>0</v>
      </c>
      <c r="G62" s="23"/>
      <c r="H62" s="23"/>
      <c r="I62" s="23"/>
    </row>
    <row r="63" spans="1:9" customFormat="1" x14ac:dyDescent="0.3">
      <c r="A63" s="7">
        <v>46244</v>
      </c>
      <c r="B63" s="8" t="s">
        <v>27</v>
      </c>
      <c r="C63" s="8" t="s">
        <v>24</v>
      </c>
      <c r="D63" s="8" t="s">
        <v>136</v>
      </c>
      <c r="E63" s="21">
        <v>235.5</v>
      </c>
      <c r="F63" s="22">
        <v>0</v>
      </c>
      <c r="G63" s="16">
        <v>-2</v>
      </c>
      <c r="H63" s="16">
        <v>3</v>
      </c>
      <c r="I63" s="24">
        <v>5</v>
      </c>
    </row>
    <row r="64" spans="1:9" customFormat="1" x14ac:dyDescent="0.3">
      <c r="A64" s="7">
        <v>46244</v>
      </c>
      <c r="B64" s="8" t="s">
        <v>31</v>
      </c>
      <c r="C64" s="8" t="s">
        <v>29</v>
      </c>
      <c r="D64" s="8" t="s">
        <v>136</v>
      </c>
      <c r="E64" s="21">
        <v>317</v>
      </c>
      <c r="F64" s="22">
        <v>0</v>
      </c>
      <c r="G64" s="16">
        <v>-2</v>
      </c>
      <c r="H64" s="16">
        <v>21</v>
      </c>
      <c r="I64" s="16">
        <v>77</v>
      </c>
    </row>
    <row r="65" spans="1:9" customFormat="1" x14ac:dyDescent="0.3">
      <c r="A65" s="7">
        <v>46244</v>
      </c>
      <c r="B65" s="8" t="s">
        <v>26</v>
      </c>
      <c r="C65" s="8" t="s">
        <v>55</v>
      </c>
      <c r="D65" s="8" t="s">
        <v>135</v>
      </c>
      <c r="E65" s="21">
        <v>172.5</v>
      </c>
      <c r="F65" s="22">
        <v>0</v>
      </c>
      <c r="G65" s="16">
        <v>-32</v>
      </c>
      <c r="H65" s="16">
        <v>-38</v>
      </c>
      <c r="I65" s="16">
        <v>-57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172.5</v>
      </c>
      <c r="F66" s="22">
        <v>0</v>
      </c>
      <c r="G66" s="23"/>
      <c r="H66" s="23"/>
      <c r="I66" s="23"/>
    </row>
    <row r="67" spans="1:9" customFormat="1" x14ac:dyDescent="0.3">
      <c r="A67" s="7">
        <v>46244</v>
      </c>
      <c r="B67" s="8" t="s">
        <v>26</v>
      </c>
      <c r="C67" s="8" t="s">
        <v>143</v>
      </c>
      <c r="D67" s="8" t="s">
        <v>136</v>
      </c>
      <c r="E67" s="21">
        <v>192.5</v>
      </c>
      <c r="F67" s="22">
        <v>0</v>
      </c>
      <c r="G67" s="23">
        <v>-30</v>
      </c>
      <c r="H67" s="23">
        <v>0</v>
      </c>
      <c r="I67" s="23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>
        <v>0</v>
      </c>
      <c r="G68" s="16"/>
      <c r="H68" s="16"/>
      <c r="I68" s="24"/>
    </row>
    <row r="69" spans="1:9" customFormat="1" x14ac:dyDescent="0.3">
      <c r="A69" s="7">
        <v>46244</v>
      </c>
      <c r="B69" s="8" t="s">
        <v>26</v>
      </c>
      <c r="C69" s="8" t="s">
        <v>57</v>
      </c>
      <c r="D69" s="8" t="s">
        <v>136</v>
      </c>
      <c r="E69" s="21">
        <v>182.5</v>
      </c>
      <c r="F69" s="22">
        <v>0</v>
      </c>
      <c r="G69" s="23">
        <v>-3</v>
      </c>
      <c r="H69" s="23">
        <v>-5</v>
      </c>
      <c r="I69" s="23">
        <v>-26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182.5</v>
      </c>
      <c r="F70" s="22">
        <v>0</v>
      </c>
      <c r="G70" s="23"/>
      <c r="H70" s="23"/>
      <c r="I70" s="23"/>
    </row>
    <row r="71" spans="1:9" customFormat="1" x14ac:dyDescent="0.3">
      <c r="A71" s="7">
        <v>46244</v>
      </c>
      <c r="B71" s="8" t="s">
        <v>26</v>
      </c>
      <c r="C71" s="8" t="s">
        <v>40</v>
      </c>
      <c r="D71" s="8" t="s">
        <v>136</v>
      </c>
      <c r="E71" s="21">
        <v>217.5</v>
      </c>
      <c r="F71" s="22">
        <v>0</v>
      </c>
      <c r="G71" s="23">
        <v>-3</v>
      </c>
      <c r="H71" s="16">
        <v>-5</v>
      </c>
      <c r="I71" s="24">
        <v>-14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217.5</v>
      </c>
      <c r="F72" s="22">
        <v>0</v>
      </c>
      <c r="G72" s="16"/>
      <c r="H72" s="16"/>
      <c r="I72" s="16"/>
    </row>
    <row r="73" spans="1:9" customFormat="1" x14ac:dyDescent="0.3">
      <c r="A73" s="7">
        <v>46244</v>
      </c>
      <c r="B73" s="8" t="s">
        <v>26</v>
      </c>
      <c r="C73" s="8" t="s">
        <v>6</v>
      </c>
      <c r="D73" s="8" t="s">
        <v>136</v>
      </c>
      <c r="E73" s="21">
        <v>257</v>
      </c>
      <c r="F73" s="22">
        <v>0</v>
      </c>
      <c r="G73" s="16">
        <v>0</v>
      </c>
      <c r="H73" s="16">
        <v>22</v>
      </c>
      <c r="I73" s="16">
        <v>18</v>
      </c>
    </row>
    <row r="74" spans="1:9" customFormat="1" x14ac:dyDescent="0.3">
      <c r="A74" s="7">
        <v>46244</v>
      </c>
      <c r="B74" s="8" t="s">
        <v>28</v>
      </c>
      <c r="C74" s="8" t="s">
        <v>24</v>
      </c>
      <c r="D74" s="8" t="s">
        <v>136</v>
      </c>
      <c r="E74" s="21">
        <v>250.5</v>
      </c>
      <c r="F74" s="22">
        <v>0</v>
      </c>
      <c r="G74" s="16">
        <v>-2</v>
      </c>
      <c r="H74" s="16">
        <v>13</v>
      </c>
      <c r="I74" s="16">
        <v>8</v>
      </c>
    </row>
    <row r="75" spans="1:9" customFormat="1" x14ac:dyDescent="0.3">
      <c r="A75" s="7">
        <v>46244</v>
      </c>
      <c r="B75" s="8" t="s">
        <v>39</v>
      </c>
      <c r="C75" s="8" t="s">
        <v>55</v>
      </c>
      <c r="D75" s="8" t="s">
        <v>135</v>
      </c>
      <c r="E75" s="21">
        <v>174.5</v>
      </c>
      <c r="F75" s="22">
        <v>0</v>
      </c>
      <c r="G75" s="16">
        <v>-35</v>
      </c>
      <c r="H75" s="16">
        <v>-38</v>
      </c>
      <c r="I75" s="24">
        <v>-57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174.5</v>
      </c>
      <c r="F76" s="22">
        <v>0</v>
      </c>
      <c r="G76" s="23"/>
      <c r="H76" s="23"/>
      <c r="I76" s="23"/>
    </row>
    <row r="77" spans="1:9" customFormat="1" x14ac:dyDescent="0.3">
      <c r="A77" s="7">
        <v>46244</v>
      </c>
      <c r="B77" s="8" t="s">
        <v>39</v>
      </c>
      <c r="C77" s="8" t="s">
        <v>143</v>
      </c>
      <c r="D77" s="8" t="s">
        <v>136</v>
      </c>
      <c r="E77" s="21">
        <v>197.5</v>
      </c>
      <c r="F77" s="22">
        <v>0</v>
      </c>
      <c r="G77" s="16">
        <v>-30</v>
      </c>
      <c r="H77" s="16">
        <v>0</v>
      </c>
      <c r="I77" s="16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>
        <v>0</v>
      </c>
      <c r="G78" s="23"/>
      <c r="H78" s="23"/>
      <c r="I78" s="23"/>
    </row>
    <row r="79" spans="1:9" customFormat="1" x14ac:dyDescent="0.3">
      <c r="A79" s="7">
        <v>46244</v>
      </c>
      <c r="B79" s="8" t="s">
        <v>39</v>
      </c>
      <c r="C79" s="8" t="s">
        <v>41</v>
      </c>
      <c r="D79" s="8" t="s">
        <v>139</v>
      </c>
      <c r="E79" s="21">
        <v>8950</v>
      </c>
      <c r="F79" s="22">
        <v>0</v>
      </c>
      <c r="G79" s="23">
        <v>-300</v>
      </c>
      <c r="H79" s="23">
        <v>-1600</v>
      </c>
      <c r="I79" s="23">
        <v>-2200</v>
      </c>
    </row>
    <row r="80" spans="1:9" customFormat="1" x14ac:dyDescent="0.3">
      <c r="A80" s="7">
        <v>46244</v>
      </c>
      <c r="B80" s="8" t="s">
        <v>39</v>
      </c>
      <c r="C80" s="8" t="s">
        <v>41</v>
      </c>
      <c r="D80" s="8" t="s">
        <v>138</v>
      </c>
      <c r="E80" s="21">
        <v>7500</v>
      </c>
      <c r="F80" s="22">
        <v>0</v>
      </c>
      <c r="G80" s="23">
        <v>0</v>
      </c>
      <c r="H80" s="23">
        <v>-1750</v>
      </c>
      <c r="I80" s="23">
        <v>-2850</v>
      </c>
    </row>
    <row r="81" spans="1:9" customFormat="1" x14ac:dyDescent="0.3">
      <c r="A81" s="7">
        <v>46244</v>
      </c>
      <c r="B81" s="8" t="s">
        <v>39</v>
      </c>
      <c r="C81" s="8" t="s">
        <v>57</v>
      </c>
      <c r="D81" s="8" t="s">
        <v>136</v>
      </c>
      <c r="E81" s="21">
        <v>188.5</v>
      </c>
      <c r="F81" s="22">
        <v>0</v>
      </c>
      <c r="G81" s="23">
        <v>-2</v>
      </c>
      <c r="H81" s="16">
        <v>-4</v>
      </c>
      <c r="I81" s="24">
        <v>-23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188.5</v>
      </c>
      <c r="F82" s="22">
        <v>0</v>
      </c>
      <c r="G82" s="16"/>
      <c r="H82" s="16"/>
      <c r="I82" s="16"/>
    </row>
    <row r="83" spans="1:9" customFormat="1" x14ac:dyDescent="0.3">
      <c r="A83" s="7">
        <v>46244</v>
      </c>
      <c r="B83" s="8" t="s">
        <v>39</v>
      </c>
      <c r="C83" s="8" t="s">
        <v>40</v>
      </c>
      <c r="D83" s="8" t="s">
        <v>136</v>
      </c>
      <c r="E83" s="21">
        <v>223.5</v>
      </c>
      <c r="F83" s="22">
        <v>0</v>
      </c>
      <c r="G83" s="16">
        <v>-2</v>
      </c>
      <c r="H83" s="16">
        <v>-4</v>
      </c>
      <c r="I83" s="24">
        <v>-14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223.5</v>
      </c>
      <c r="F84" s="22">
        <v>0</v>
      </c>
      <c r="G84" s="16"/>
      <c r="H84" s="16"/>
      <c r="I84" s="24"/>
    </row>
    <row r="85" spans="1:9" customFormat="1" x14ac:dyDescent="0.3">
      <c r="A85" s="7">
        <v>46244</v>
      </c>
      <c r="B85" s="8" t="s">
        <v>30</v>
      </c>
      <c r="C85" s="8" t="s">
        <v>29</v>
      </c>
      <c r="D85" s="8" t="s">
        <v>136</v>
      </c>
      <c r="E85" s="21">
        <v>271</v>
      </c>
      <c r="F85" s="22">
        <v>1</v>
      </c>
      <c r="G85" s="23">
        <v>-2</v>
      </c>
      <c r="H85" s="23">
        <v>15</v>
      </c>
      <c r="I85" s="23">
        <v>49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46244</v>
      </c>
      <c r="B90" s="8" t="s">
        <v>45</v>
      </c>
      <c r="C90" s="8" t="s">
        <v>41</v>
      </c>
      <c r="D90" s="8" t="s">
        <v>138</v>
      </c>
      <c r="E90" s="21">
        <v>24500</v>
      </c>
      <c r="F90" s="22">
        <v>0</v>
      </c>
      <c r="G90" s="22">
        <v>0</v>
      </c>
      <c r="H90" s="22">
        <v>-4000</v>
      </c>
      <c r="I90" s="22">
        <v>-4000</v>
      </c>
    </row>
    <row r="91" spans="1:9" customFormat="1" x14ac:dyDescent="0.3">
      <c r="A91" s="7">
        <v>46244</v>
      </c>
      <c r="B91" s="8" t="s">
        <v>35</v>
      </c>
      <c r="C91" s="8" t="s">
        <v>4</v>
      </c>
      <c r="D91" s="8" t="s">
        <v>136</v>
      </c>
      <c r="E91" s="21">
        <v>1113</v>
      </c>
      <c r="F91" s="22">
        <v>7</v>
      </c>
      <c r="G91" s="22">
        <v>3</v>
      </c>
      <c r="H91" s="22">
        <v>8</v>
      </c>
      <c r="I91" s="22">
        <v>71</v>
      </c>
    </row>
    <row r="92" spans="1:9" customFormat="1" x14ac:dyDescent="0.3">
      <c r="A92" s="7">
        <v>46244</v>
      </c>
      <c r="B92" s="8" t="s">
        <v>19</v>
      </c>
      <c r="C92" s="8" t="s">
        <v>38</v>
      </c>
      <c r="D92" s="8" t="s">
        <v>137</v>
      </c>
      <c r="E92" s="21">
        <v>485</v>
      </c>
      <c r="F92" s="22">
        <v>0</v>
      </c>
      <c r="G92" s="22">
        <v>-40</v>
      </c>
      <c r="H92" s="22">
        <v>-90</v>
      </c>
      <c r="I92" s="22">
        <v>-50</v>
      </c>
    </row>
    <row r="93" spans="1:9" customFormat="1" x14ac:dyDescent="0.3">
      <c r="A93" s="7">
        <v>46244</v>
      </c>
      <c r="B93" s="8" t="s">
        <v>19</v>
      </c>
      <c r="C93" s="8" t="s">
        <v>120</v>
      </c>
      <c r="D93" s="8" t="s">
        <v>135</v>
      </c>
      <c r="E93" s="21">
        <v>485</v>
      </c>
      <c r="F93" s="22">
        <v>0</v>
      </c>
      <c r="G93" s="22">
        <v>-40</v>
      </c>
      <c r="H93" s="22">
        <v>-105</v>
      </c>
      <c r="I93" s="22">
        <v>-65</v>
      </c>
    </row>
    <row r="94" spans="1:9" customFormat="1" x14ac:dyDescent="0.3">
      <c r="A94" s="7">
        <v>46244</v>
      </c>
      <c r="B94" s="8" t="s">
        <v>19</v>
      </c>
      <c r="C94" s="8" t="s">
        <v>120</v>
      </c>
      <c r="D94" s="8" t="s">
        <v>136</v>
      </c>
      <c r="E94" s="21">
        <v>500</v>
      </c>
      <c r="F94" s="22">
        <v>0</v>
      </c>
      <c r="G94" s="22">
        <v>-40</v>
      </c>
      <c r="H94" s="22">
        <v>-105</v>
      </c>
      <c r="I94" s="22">
        <v>-60</v>
      </c>
    </row>
    <row r="95" spans="1:9" customFormat="1" x14ac:dyDescent="0.3">
      <c r="A95" s="7">
        <v>46244</v>
      </c>
      <c r="B95" s="8" t="s">
        <v>19</v>
      </c>
      <c r="C95" s="8" t="s">
        <v>8</v>
      </c>
      <c r="D95" s="8" t="s">
        <v>136</v>
      </c>
      <c r="E95" s="21">
        <v>618</v>
      </c>
      <c r="F95" s="22">
        <v>10</v>
      </c>
      <c r="G95" s="22">
        <v>26</v>
      </c>
      <c r="H95" s="22">
        <v>22</v>
      </c>
      <c r="I95" s="22">
        <v>97</v>
      </c>
    </row>
    <row r="96" spans="1:9" customFormat="1" x14ac:dyDescent="0.3">
      <c r="A96" s="7">
        <v>46244</v>
      </c>
      <c r="B96" s="8" t="s">
        <v>51</v>
      </c>
      <c r="C96" s="8" t="s">
        <v>41</v>
      </c>
      <c r="D96" s="8" t="s">
        <v>139</v>
      </c>
      <c r="E96" s="21">
        <v>21500</v>
      </c>
      <c r="F96" s="22">
        <v>0</v>
      </c>
      <c r="G96" s="22">
        <v>-450</v>
      </c>
      <c r="H96" s="22">
        <v>-5000</v>
      </c>
      <c r="I96" s="22">
        <v>-2800</v>
      </c>
    </row>
    <row r="97" spans="1:23" customFormat="1" x14ac:dyDescent="0.3">
      <c r="A97" s="7">
        <v>46244</v>
      </c>
      <c r="B97" s="8" t="s">
        <v>51</v>
      </c>
      <c r="C97" s="8" t="s">
        <v>41</v>
      </c>
      <c r="D97" s="8" t="s">
        <v>138</v>
      </c>
      <c r="E97" s="21">
        <v>20500</v>
      </c>
      <c r="F97" s="22">
        <v>0</v>
      </c>
      <c r="G97" s="22">
        <v>-1000</v>
      </c>
      <c r="H97" s="22">
        <v>-5000</v>
      </c>
      <c r="I97" s="22">
        <v>-3200</v>
      </c>
    </row>
    <row r="98" spans="1:23" customFormat="1" x14ac:dyDescent="0.3">
      <c r="A98" s="7">
        <v>46244</v>
      </c>
      <c r="B98" s="8" t="s">
        <v>47</v>
      </c>
      <c r="C98" s="8" t="s">
        <v>41</v>
      </c>
      <c r="D98" s="8" t="s">
        <v>138</v>
      </c>
      <c r="E98" s="21">
        <v>18850</v>
      </c>
      <c r="F98" s="22">
        <v>0</v>
      </c>
      <c r="G98" s="22">
        <v>0</v>
      </c>
      <c r="H98" s="22">
        <v>-900</v>
      </c>
      <c r="I98" s="22">
        <v>3400</v>
      </c>
    </row>
    <row r="99" spans="1:23" customFormat="1" x14ac:dyDescent="0.3">
      <c r="A99" s="7">
        <v>46244</v>
      </c>
      <c r="B99" s="8" t="s">
        <v>36</v>
      </c>
      <c r="C99" s="8" t="s">
        <v>41</v>
      </c>
      <c r="D99" s="8" t="s">
        <v>135</v>
      </c>
      <c r="E99" s="21">
        <v>390</v>
      </c>
      <c r="F99" s="22">
        <v>0</v>
      </c>
      <c r="G99" s="22">
        <v>0</v>
      </c>
      <c r="H99" s="22">
        <v>-15</v>
      </c>
      <c r="I99" s="22"/>
    </row>
    <row r="100" spans="1:23" customFormat="1" x14ac:dyDescent="0.3">
      <c r="A100" s="7">
        <v>46244</v>
      </c>
      <c r="B100" s="8" t="s">
        <v>36</v>
      </c>
      <c r="C100" s="8" t="s">
        <v>41</v>
      </c>
      <c r="D100" s="8" t="s">
        <v>138</v>
      </c>
      <c r="E100" s="21">
        <v>19350</v>
      </c>
      <c r="F100" s="22">
        <v>0</v>
      </c>
      <c r="G100" s="22">
        <v>0</v>
      </c>
      <c r="H100" s="22">
        <v>-900</v>
      </c>
      <c r="I100" s="22">
        <v>3400</v>
      </c>
    </row>
    <row r="101" spans="1:23" customFormat="1" x14ac:dyDescent="0.3">
      <c r="A101" s="7">
        <v>46244</v>
      </c>
      <c r="B101" s="8" t="s">
        <v>36</v>
      </c>
      <c r="C101" s="8" t="s">
        <v>5</v>
      </c>
      <c r="D101" s="8" t="s">
        <v>136</v>
      </c>
      <c r="E101" s="21">
        <v>340</v>
      </c>
      <c r="F101" s="22">
        <v>-3</v>
      </c>
      <c r="G101" s="22">
        <v>-9</v>
      </c>
      <c r="H101" s="22">
        <v>-1</v>
      </c>
      <c r="I101" s="22">
        <v>45</v>
      </c>
    </row>
    <row r="102" spans="1:23" customFormat="1" x14ac:dyDescent="0.3">
      <c r="A102" s="7">
        <v>46244</v>
      </c>
      <c r="B102" s="8" t="s">
        <v>34</v>
      </c>
      <c r="C102" s="8" t="s">
        <v>41</v>
      </c>
      <c r="D102" s="8" t="s">
        <v>138</v>
      </c>
      <c r="E102" s="21">
        <v>56500</v>
      </c>
      <c r="F102" s="22">
        <v>0</v>
      </c>
      <c r="G102" s="22">
        <v>0</v>
      </c>
      <c r="H102" s="22">
        <v>-500</v>
      </c>
      <c r="I102" s="22">
        <v>8500</v>
      </c>
    </row>
    <row r="103" spans="1:23" customFormat="1" x14ac:dyDescent="0.3">
      <c r="A103" s="7">
        <v>46244</v>
      </c>
      <c r="B103" s="8" t="s">
        <v>34</v>
      </c>
      <c r="C103" s="8" t="s">
        <v>7</v>
      </c>
      <c r="D103" s="8" t="s">
        <v>136</v>
      </c>
      <c r="E103" s="21">
        <v>1184</v>
      </c>
      <c r="F103" s="22">
        <v>5</v>
      </c>
      <c r="G103" s="22">
        <v>7</v>
      </c>
      <c r="H103" s="22">
        <v>19</v>
      </c>
      <c r="I103" s="22">
        <v>94</v>
      </c>
    </row>
    <row r="104" spans="1:23" customFormat="1" x14ac:dyDescent="0.3">
      <c r="A104" s="7">
        <v>46244</v>
      </c>
      <c r="B104" s="8" t="s">
        <v>20</v>
      </c>
      <c r="C104" s="8" t="s">
        <v>29</v>
      </c>
      <c r="D104" s="8" t="s">
        <v>136</v>
      </c>
      <c r="E104" s="21">
        <v>481</v>
      </c>
      <c r="F104" s="22">
        <v>-1</v>
      </c>
      <c r="G104" s="22">
        <v>-4</v>
      </c>
      <c r="H104" s="22">
        <v>6</v>
      </c>
      <c r="I104" s="22">
        <v>92</v>
      </c>
    </row>
    <row r="105" spans="1:23" customFormat="1" x14ac:dyDescent="0.3">
      <c r="A105" s="7">
        <v>46244</v>
      </c>
      <c r="B105" s="8" t="s">
        <v>20</v>
      </c>
      <c r="C105" s="8" t="s">
        <v>38</v>
      </c>
      <c r="D105" s="8" t="s">
        <v>137</v>
      </c>
      <c r="E105" s="21">
        <v>445</v>
      </c>
      <c r="F105" s="22">
        <v>0</v>
      </c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46244</v>
      </c>
      <c r="B106" s="8" t="s">
        <v>20</v>
      </c>
      <c r="C106" s="8" t="s">
        <v>55</v>
      </c>
      <c r="D106" s="8" t="s">
        <v>137</v>
      </c>
      <c r="E106" s="21">
        <v>435</v>
      </c>
      <c r="F106" s="22">
        <v>0</v>
      </c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46244</v>
      </c>
      <c r="B107" s="8" t="s">
        <v>20</v>
      </c>
      <c r="C107" s="8" t="s">
        <v>120</v>
      </c>
      <c r="D107" s="8" t="s">
        <v>135</v>
      </c>
      <c r="E107" s="21">
        <v>435</v>
      </c>
      <c r="F107" s="22">
        <v>0</v>
      </c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46244</v>
      </c>
      <c r="B108" s="8" t="s">
        <v>20</v>
      </c>
      <c r="C108" s="8" t="s">
        <v>41</v>
      </c>
      <c r="D108" s="8" t="s">
        <v>139</v>
      </c>
      <c r="E108" s="21">
        <v>20500</v>
      </c>
      <c r="F108" s="22">
        <v>0</v>
      </c>
      <c r="G108" s="22">
        <v>-500</v>
      </c>
      <c r="H108" s="22">
        <v>-1000</v>
      </c>
      <c r="I108" s="22">
        <v>2250</v>
      </c>
    </row>
    <row r="109" spans="1:23" customFormat="1" x14ac:dyDescent="0.3">
      <c r="A109" s="7">
        <v>46244</v>
      </c>
      <c r="B109" s="8" t="s">
        <v>20</v>
      </c>
      <c r="C109" s="8" t="s">
        <v>41</v>
      </c>
      <c r="D109" s="8" t="s">
        <v>138</v>
      </c>
      <c r="E109" s="21">
        <v>20000</v>
      </c>
      <c r="F109" s="22">
        <v>0</v>
      </c>
      <c r="G109" s="22">
        <v>0</v>
      </c>
      <c r="H109" s="22">
        <v>-500</v>
      </c>
      <c r="I109" s="22">
        <v>2250</v>
      </c>
    </row>
    <row r="110" spans="1:23" x14ac:dyDescent="0.3">
      <c r="A110" s="7">
        <v>46244</v>
      </c>
      <c r="B110" s="8" t="s">
        <v>20</v>
      </c>
      <c r="C110" s="8" t="s">
        <v>58</v>
      </c>
      <c r="D110" s="8" t="s">
        <v>136</v>
      </c>
      <c r="E110" s="21">
        <v>480</v>
      </c>
      <c r="F110" s="22">
        <v>-1</v>
      </c>
      <c r="G110" s="22">
        <v>-4</v>
      </c>
      <c r="H110" s="22">
        <v>15</v>
      </c>
      <c r="I110" s="22">
        <v>38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46244</v>
      </c>
      <c r="B111" s="8" t="s">
        <v>20</v>
      </c>
      <c r="C111" s="8" t="s">
        <v>5</v>
      </c>
      <c r="D111" s="8" t="s">
        <v>136</v>
      </c>
      <c r="E111" s="21">
        <v>452</v>
      </c>
      <c r="F111" s="22">
        <v>-1</v>
      </c>
      <c r="G111" s="22">
        <v>-4</v>
      </c>
      <c r="H111" s="22">
        <v>9</v>
      </c>
      <c r="I111" s="22">
        <v>61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46244</v>
      </c>
      <c r="B112" s="8" t="s">
        <v>46</v>
      </c>
      <c r="C112" s="8" t="s">
        <v>41</v>
      </c>
      <c r="D112" s="8" t="s">
        <v>138</v>
      </c>
      <c r="E112" s="21">
        <v>11950</v>
      </c>
      <c r="F112" s="22">
        <v>0</v>
      </c>
      <c r="G112" s="22">
        <v>0</v>
      </c>
      <c r="H112" s="22">
        <v>200</v>
      </c>
      <c r="I112" s="22">
        <v>1500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46244</v>
      </c>
      <c r="B113" s="8" t="s">
        <v>44</v>
      </c>
      <c r="C113" s="8" t="s">
        <v>38</v>
      </c>
      <c r="D113" s="8" t="s">
        <v>137</v>
      </c>
      <c r="E113" s="21">
        <v>255</v>
      </c>
      <c r="F113" s="22">
        <v>0</v>
      </c>
      <c r="G113" s="22">
        <v>0</v>
      </c>
      <c r="H113" s="22">
        <v>-10</v>
      </c>
      <c r="I113" s="22">
        <v>10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46244</v>
      </c>
      <c r="B114" s="8" t="s">
        <v>44</v>
      </c>
      <c r="C114" s="8" t="s">
        <v>134</v>
      </c>
      <c r="D114" s="8" t="s">
        <v>135</v>
      </c>
      <c r="E114" s="21">
        <v>225</v>
      </c>
      <c r="F114" s="22">
        <v>0</v>
      </c>
      <c r="G114" s="22">
        <v>0</v>
      </c>
      <c r="H114" s="22">
        <v>-20</v>
      </c>
      <c r="I114" s="22"/>
      <c r="J114"/>
      <c r="K114" s="2"/>
    </row>
    <row r="115" spans="1:21" s="3" customFormat="1" x14ac:dyDescent="0.3">
      <c r="A115" s="7">
        <v>46244</v>
      </c>
      <c r="B115" s="8" t="s">
        <v>44</v>
      </c>
      <c r="C115" s="8" t="s">
        <v>41</v>
      </c>
      <c r="D115" s="8" t="s">
        <v>138</v>
      </c>
      <c r="E115" s="21">
        <v>12450</v>
      </c>
      <c r="F115" s="22">
        <v>0</v>
      </c>
      <c r="G115" s="22">
        <v>0</v>
      </c>
      <c r="H115" s="22">
        <v>200</v>
      </c>
      <c r="I115" s="22">
        <v>1500</v>
      </c>
      <c r="J115"/>
      <c r="K115" s="2"/>
    </row>
    <row r="116" spans="1:21" s="3" customFormat="1" x14ac:dyDescent="0.3">
      <c r="A116" s="7">
        <v>46244</v>
      </c>
      <c r="B116" s="8" t="s">
        <v>43</v>
      </c>
      <c r="C116" s="8" t="s">
        <v>143</v>
      </c>
      <c r="D116" s="8" t="s">
        <v>136</v>
      </c>
      <c r="E116" s="21">
        <v>1355</v>
      </c>
      <c r="F116" s="22">
        <v>0</v>
      </c>
      <c r="G116" s="22"/>
      <c r="H116" s="22">
        <v>0</v>
      </c>
      <c r="I116" s="22"/>
      <c r="J116"/>
      <c r="K116" s="2"/>
    </row>
    <row r="117" spans="1:21" s="3" customFormat="1" x14ac:dyDescent="0.3">
      <c r="A117" s="7">
        <v>46244</v>
      </c>
      <c r="B117" s="8" t="s">
        <v>43</v>
      </c>
      <c r="C117" s="8" t="s">
        <v>120</v>
      </c>
      <c r="D117" s="8" t="s">
        <v>135</v>
      </c>
      <c r="E117" s="21">
        <v>1325</v>
      </c>
      <c r="F117" s="22">
        <v>0</v>
      </c>
      <c r="G117" s="22">
        <v>-10</v>
      </c>
      <c r="H117" s="22">
        <v>-25</v>
      </c>
      <c r="I117" s="22">
        <v>165</v>
      </c>
      <c r="J117"/>
      <c r="K117" s="2"/>
    </row>
    <row r="118" spans="1:21" s="3" customFormat="1" x14ac:dyDescent="0.3">
      <c r="A118" s="7">
        <v>46244</v>
      </c>
      <c r="B118" s="8" t="s">
        <v>43</v>
      </c>
      <c r="C118" s="8" t="s">
        <v>120</v>
      </c>
      <c r="D118" s="8" t="s">
        <v>136</v>
      </c>
      <c r="E118" s="21">
        <v>1375</v>
      </c>
      <c r="F118" s="22">
        <v>0</v>
      </c>
      <c r="G118" s="22">
        <v>0</v>
      </c>
      <c r="H118" s="22">
        <v>-10</v>
      </c>
      <c r="I118" s="22">
        <v>192.5</v>
      </c>
      <c r="J118"/>
      <c r="K118" s="2"/>
    </row>
    <row r="119" spans="1:21" s="3" customFormat="1" x14ac:dyDescent="0.3">
      <c r="A119" s="7">
        <v>46244</v>
      </c>
      <c r="B119" s="8" t="s">
        <v>43</v>
      </c>
      <c r="C119" s="8" t="s">
        <v>41</v>
      </c>
      <c r="D119" s="8" t="s">
        <v>138</v>
      </c>
      <c r="E119" s="21">
        <v>69500</v>
      </c>
      <c r="F119" s="22">
        <v>0</v>
      </c>
      <c r="G119" s="22">
        <v>0</v>
      </c>
      <c r="H119" s="22">
        <v>0</v>
      </c>
      <c r="I119" s="22">
        <v>13500</v>
      </c>
      <c r="J119"/>
      <c r="K119" s="2"/>
    </row>
    <row r="120" spans="1:21" s="3" customFormat="1" x14ac:dyDescent="0.3">
      <c r="A120" s="7">
        <v>46244</v>
      </c>
      <c r="B120" s="8" t="s">
        <v>43</v>
      </c>
      <c r="C120" s="8" t="s">
        <v>56</v>
      </c>
      <c r="D120" s="8" t="s">
        <v>136</v>
      </c>
      <c r="E120" s="21">
        <v>1365</v>
      </c>
      <c r="F120" s="22">
        <v>0</v>
      </c>
      <c r="G120" s="22">
        <v>0</v>
      </c>
      <c r="H120" s="22">
        <v>-10</v>
      </c>
      <c r="I120" s="22">
        <v>190</v>
      </c>
      <c r="J120"/>
      <c r="K120" s="2"/>
    </row>
    <row r="121" spans="1:21" s="3" customFormat="1" x14ac:dyDescent="0.3">
      <c r="A121" s="7">
        <v>46244</v>
      </c>
      <c r="B121" s="8" t="s">
        <v>43</v>
      </c>
      <c r="C121" s="8" t="s">
        <v>50</v>
      </c>
      <c r="D121" s="8" t="s">
        <v>136</v>
      </c>
      <c r="E121" s="21">
        <v>1520</v>
      </c>
      <c r="F121" s="22">
        <v>0</v>
      </c>
      <c r="G121" s="22">
        <v>-5</v>
      </c>
      <c r="H121" s="22">
        <v>30</v>
      </c>
      <c r="I121" s="22">
        <v>290</v>
      </c>
      <c r="J121"/>
      <c r="K121" s="2"/>
    </row>
    <row r="122" spans="1:21" s="3" customFormat="1" x14ac:dyDescent="0.3">
      <c r="A122" s="7">
        <v>46244</v>
      </c>
      <c r="B122" s="8" t="s">
        <v>153</v>
      </c>
      <c r="C122" s="8" t="s">
        <v>151</v>
      </c>
      <c r="D122" s="8" t="s">
        <v>152</v>
      </c>
      <c r="E122" s="21">
        <v>1490</v>
      </c>
      <c r="F122" s="22"/>
      <c r="G122" s="22">
        <v>-10</v>
      </c>
      <c r="H122" s="22">
        <v>-20</v>
      </c>
      <c r="I122" s="22">
        <v>20</v>
      </c>
      <c r="J122"/>
      <c r="K122" s="2"/>
    </row>
    <row r="123" spans="1:21" s="3" customFormat="1" x14ac:dyDescent="0.3">
      <c r="A123" s="7">
        <v>46244</v>
      </c>
      <c r="B123" s="8" t="s">
        <v>150</v>
      </c>
      <c r="C123" s="8" t="s">
        <v>151</v>
      </c>
      <c r="D123" s="8" t="s">
        <v>152</v>
      </c>
      <c r="E123" s="21">
        <v>1610</v>
      </c>
      <c r="F123" s="22"/>
      <c r="G123" s="22">
        <v>-10</v>
      </c>
      <c r="H123" s="22">
        <v>-50</v>
      </c>
      <c r="I123" s="22">
        <v>-40</v>
      </c>
      <c r="J123"/>
      <c r="K123" s="2"/>
    </row>
    <row r="124" spans="1:21" customFormat="1" x14ac:dyDescent="0.3">
      <c r="A124" s="7">
        <v>46244</v>
      </c>
      <c r="B124" s="8" t="s">
        <v>42</v>
      </c>
      <c r="C124" s="8" t="s">
        <v>38</v>
      </c>
      <c r="D124" s="8" t="s">
        <v>137</v>
      </c>
      <c r="E124" s="21">
        <v>545</v>
      </c>
      <c r="F124" s="22">
        <v>0</v>
      </c>
      <c r="G124" s="22">
        <v>-10</v>
      </c>
      <c r="H124" s="22">
        <v>-30</v>
      </c>
      <c r="I124" s="22">
        <v>60</v>
      </c>
    </row>
    <row r="125" spans="1:21" customFormat="1" x14ac:dyDescent="0.3">
      <c r="A125" s="7">
        <v>46244</v>
      </c>
      <c r="B125" s="8" t="s">
        <v>42</v>
      </c>
      <c r="C125" s="8" t="s">
        <v>41</v>
      </c>
      <c r="D125" s="8" t="s">
        <v>139</v>
      </c>
      <c r="E125" s="21">
        <v>30750</v>
      </c>
      <c r="F125" s="22">
        <v>0</v>
      </c>
      <c r="G125" s="22">
        <v>0</v>
      </c>
      <c r="H125" s="22">
        <v>-2750</v>
      </c>
      <c r="I125" s="22">
        <v>4550</v>
      </c>
    </row>
    <row r="126" spans="1:21" x14ac:dyDescent="0.3">
      <c r="A126" s="7">
        <v>46244</v>
      </c>
      <c r="B126" s="8" t="s">
        <v>42</v>
      </c>
      <c r="C126" s="8" t="s">
        <v>41</v>
      </c>
      <c r="D126" s="8" t="s">
        <v>138</v>
      </c>
      <c r="E126" s="21">
        <v>30000</v>
      </c>
      <c r="F126" s="22">
        <v>0</v>
      </c>
      <c r="G126" s="22">
        <v>0</v>
      </c>
      <c r="H126" s="22">
        <v>-2500</v>
      </c>
      <c r="I126" s="22">
        <v>4500</v>
      </c>
    </row>
    <row r="127" spans="1:21" x14ac:dyDescent="0.3">
      <c r="A127" s="7">
        <v>46244</v>
      </c>
      <c r="B127" s="8" t="s">
        <v>42</v>
      </c>
      <c r="C127" s="8" t="s">
        <v>157</v>
      </c>
      <c r="D127" s="8" t="s">
        <v>136</v>
      </c>
      <c r="E127" s="21">
        <v>511</v>
      </c>
      <c r="F127" s="22"/>
      <c r="G127" s="22">
        <v>-15</v>
      </c>
      <c r="H127" s="22">
        <v>-27</v>
      </c>
      <c r="I127" s="22">
        <v>-3</v>
      </c>
    </row>
    <row r="128" spans="1:21" x14ac:dyDescent="0.3">
      <c r="A128" s="7">
        <v>46244</v>
      </c>
      <c r="B128" s="8" t="s">
        <v>42</v>
      </c>
      <c r="C128" s="8" t="s">
        <v>52</v>
      </c>
      <c r="D128" s="8" t="s">
        <v>136</v>
      </c>
      <c r="E128" s="21">
        <v>630</v>
      </c>
      <c r="F128" s="22">
        <v>0</v>
      </c>
      <c r="G128" s="22">
        <v>-20</v>
      </c>
      <c r="H128" s="22">
        <v>-40</v>
      </c>
      <c r="I128" s="22">
        <v>110</v>
      </c>
    </row>
    <row r="129" spans="1:9" x14ac:dyDescent="0.3">
      <c r="A129" s="7">
        <v>46244</v>
      </c>
      <c r="B129" s="8" t="s">
        <v>42</v>
      </c>
      <c r="C129" s="8" t="s">
        <v>53</v>
      </c>
      <c r="D129" s="8" t="s">
        <v>136</v>
      </c>
      <c r="E129" s="21">
        <v>630</v>
      </c>
      <c r="F129" s="22">
        <v>0</v>
      </c>
      <c r="G129" s="22">
        <v>-20</v>
      </c>
      <c r="H129" s="22">
        <v>-40</v>
      </c>
      <c r="I129" s="22">
        <v>110</v>
      </c>
    </row>
    <row r="130" spans="1:9" x14ac:dyDescent="0.3">
      <c r="A130" s="7">
        <v>46244</v>
      </c>
      <c r="B130" s="8" t="s">
        <v>154</v>
      </c>
      <c r="C130" s="8" t="s">
        <v>155</v>
      </c>
      <c r="D130" s="8" t="s">
        <v>156</v>
      </c>
      <c r="E130" s="21">
        <v>1270</v>
      </c>
      <c r="F130" s="22"/>
      <c r="G130" s="22">
        <v>-33</v>
      </c>
      <c r="H130" s="22">
        <v>-15</v>
      </c>
      <c r="I130" s="22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30">
    <sortCondition ref="B90:B130"/>
    <sortCondition descending="1" ref="C90:C130"/>
    <sortCondition ref="D90:D130"/>
  </sortState>
  <mergeCells count="3">
    <mergeCell ref="A9:I9"/>
    <mergeCell ref="A23:I23"/>
    <mergeCell ref="A87:I87"/>
  </mergeCells>
  <conditionalFormatting sqref="F26:I26 G27:I84 F27:F85 F90:F130">
    <cfRule type="cellIs" dxfId="45" priority="64" operator="equal">
      <formula>0</formula>
    </cfRule>
    <cfRule type="cellIs" dxfId="44" priority="65" operator="lessThan">
      <formula>0</formula>
    </cfRule>
    <cfRule type="cellIs" dxfId="43" priority="66" operator="greaterThan">
      <formula>0</formula>
    </cfRule>
  </conditionalFormatting>
  <conditionalFormatting sqref="F12:I12 G13:I20 F13:F21">
    <cfRule type="cellIs" dxfId="42" priority="61" operator="equal">
      <formula>0</formula>
    </cfRule>
    <cfRule type="cellIs" dxfId="41" priority="62" operator="lessThan">
      <formula>0</formula>
    </cfRule>
    <cfRule type="cellIs" dxfId="40" priority="63" operator="greaterThan">
      <formula>0</formula>
    </cfRule>
  </conditionalFormatting>
  <conditionalFormatting sqref="G85:I85">
    <cfRule type="cellIs" dxfId="39" priority="58" operator="equal">
      <formula>0</formula>
    </cfRule>
    <cfRule type="cellIs" dxfId="38" priority="59" operator="lessThan">
      <formula>0</formula>
    </cfRule>
    <cfRule type="cellIs" dxfId="37" priority="60" operator="greaterThan">
      <formula>0</formula>
    </cfRule>
  </conditionalFormatting>
  <conditionalFormatting sqref="G21:I21">
    <cfRule type="cellIs" dxfId="36" priority="55" operator="equal">
      <formula>0</formula>
    </cfRule>
    <cfRule type="cellIs" dxfId="35" priority="56" operator="lessThan">
      <formula>0</formula>
    </cfRule>
    <cfRule type="cellIs" dxfId="34" priority="57" operator="greaterThan">
      <formula>0</formula>
    </cfRule>
  </conditionalFormatting>
  <conditionalFormatting sqref="F26:F85 F90:F130">
    <cfRule type="cellIs" dxfId="33" priority="54" operator="equal">
      <formula>0</formula>
    </cfRule>
  </conditionalFormatting>
  <conditionalFormatting sqref="F12:F21">
    <cfRule type="cellIs" dxfId="32" priority="53" operator="equal">
      <formula>0</formula>
    </cfRule>
  </conditionalFormatting>
  <conditionalFormatting sqref="G90:I123">
    <cfRule type="cellIs" dxfId="31" priority="50" operator="equal">
      <formula>0</formula>
    </cfRule>
    <cfRule type="cellIs" dxfId="30" priority="51" operator="lessThan">
      <formula>0</formula>
    </cfRule>
    <cfRule type="cellIs" dxfId="29" priority="52" operator="greaterThan">
      <formula>0</formula>
    </cfRule>
  </conditionalFormatting>
  <conditionalFormatting sqref="G90:I123">
    <cfRule type="cellIs" dxfId="28" priority="49" operator="equal">
      <formula>0</formula>
    </cfRule>
  </conditionalFormatting>
  <conditionalFormatting sqref="G124:I124">
    <cfRule type="cellIs" dxfId="27" priority="46" operator="equal">
      <formula>0</formula>
    </cfRule>
    <cfRule type="cellIs" dxfId="26" priority="47" operator="lessThan">
      <formula>0</formula>
    </cfRule>
    <cfRule type="cellIs" dxfId="25" priority="48" operator="greaterThan">
      <formula>0</formula>
    </cfRule>
  </conditionalFormatting>
  <conditionalFormatting sqref="G124:I124">
    <cfRule type="cellIs" dxfId="24" priority="45" operator="equal">
      <formula>0</formula>
    </cfRule>
  </conditionalFormatting>
  <conditionalFormatting sqref="G125:I125">
    <cfRule type="cellIs" dxfId="23" priority="42" operator="equal">
      <formula>0</formula>
    </cfRule>
    <cfRule type="cellIs" dxfId="22" priority="43" operator="lessThan">
      <formula>0</formula>
    </cfRule>
    <cfRule type="cellIs" dxfId="21" priority="44" operator="greaterThan">
      <formula>0</formula>
    </cfRule>
  </conditionalFormatting>
  <conditionalFormatting sqref="G125:I125">
    <cfRule type="cellIs" dxfId="20" priority="41" operator="equal">
      <formula>0</formula>
    </cfRule>
  </conditionalFormatting>
  <conditionalFormatting sqref="G126:I126">
    <cfRule type="cellIs" dxfId="19" priority="34" operator="equal">
      <formula>0</formula>
    </cfRule>
    <cfRule type="cellIs" dxfId="18" priority="35" operator="lessThan">
      <formula>0</formula>
    </cfRule>
    <cfRule type="cellIs" dxfId="17" priority="36" operator="greaterThan">
      <formula>0</formula>
    </cfRule>
  </conditionalFormatting>
  <conditionalFormatting sqref="G126:I126">
    <cfRule type="cellIs" dxfId="16" priority="33" operator="equal">
      <formula>0</formula>
    </cfRule>
  </conditionalFormatting>
  <conditionalFormatting sqref="G127:I127">
    <cfRule type="cellIs" dxfId="15" priority="26" operator="equal">
      <formula>0</formula>
    </cfRule>
    <cfRule type="cellIs" dxfId="14" priority="27" operator="lessThan">
      <formula>0</formula>
    </cfRule>
    <cfRule type="cellIs" dxfId="13" priority="28" operator="greaterThan">
      <formula>0</formula>
    </cfRule>
  </conditionalFormatting>
  <conditionalFormatting sqref="G127:I127">
    <cfRule type="cellIs" dxfId="12" priority="25" operator="equal">
      <formula>0</formula>
    </cfRule>
  </conditionalFormatting>
  <conditionalFormatting sqref="G128:I128">
    <cfRule type="cellIs" dxfId="11" priority="18" operator="equal">
      <formula>0</formula>
    </cfRule>
    <cfRule type="cellIs" dxfId="10" priority="19" operator="lessThan">
      <formula>0</formula>
    </cfRule>
    <cfRule type="cellIs" dxfId="9" priority="20" operator="greaterThan">
      <formula>0</formula>
    </cfRule>
  </conditionalFormatting>
  <conditionalFormatting sqref="G128:I128">
    <cfRule type="cellIs" dxfId="8" priority="17" operator="equal">
      <formula>0</formula>
    </cfRule>
  </conditionalFormatting>
  <conditionalFormatting sqref="G129:I129">
    <cfRule type="cellIs" dxfId="7" priority="10" operator="equal">
      <formula>0</formula>
    </cfRule>
    <cfRule type="cellIs" dxfId="6" priority="11" operator="lessThan">
      <formula>0</formula>
    </cfRule>
    <cfRule type="cellIs" dxfId="5" priority="12" operator="greaterThan">
      <formula>0</formula>
    </cfRule>
  </conditionalFormatting>
  <conditionalFormatting sqref="G129:I129">
    <cfRule type="cellIs" dxfId="4" priority="9" operator="equal">
      <formula>0</formula>
    </cfRule>
  </conditionalFormatting>
  <conditionalFormatting sqref="G130:I130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30:I130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1C5-794E-495E-B753-B5835067D1BC}">
  <sheetPr>
    <pageSetUpPr fitToPage="1"/>
  </sheetPr>
  <dimension ref="A1:X130"/>
  <sheetViews>
    <sheetView showGridLines="0" topLeftCell="A78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46244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46244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46244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46244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46244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46244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46244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46244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46244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46244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46244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46244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220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46244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220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46244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206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46244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46244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46244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46244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46244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46244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46244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46244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46244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46244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46244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46244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46244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46244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46244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46244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46244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46244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46244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46244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46244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46244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46244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46244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46244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46244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46244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46244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46244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46244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46244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46244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46244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46244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46244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46244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46244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46244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46244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46244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257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46244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271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46244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317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46244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46244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46244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46244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46244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46244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46244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46244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46244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46244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46244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481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46244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480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46244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452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46244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480</v>
      </c>
      <c r="I80" s="9">
        <v>490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46244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46244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46244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618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46244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46244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46244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1350</v>
      </c>
      <c r="I86" s="9">
        <v>1360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46244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1520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46244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46244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1184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46244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1113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46244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250</v>
      </c>
      <c r="I91" s="9">
        <v>260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46244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46244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46244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340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46244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46244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46244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46244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46244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46244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46244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46244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46244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46244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46244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46244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46244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 s="7">
        <v>46244</v>
      </c>
      <c r="B108" s="8" t="s">
        <v>105</v>
      </c>
      <c r="C108" s="8" t="s">
        <v>145</v>
      </c>
      <c r="D108" s="8" t="s">
        <v>41</v>
      </c>
      <c r="E108" s="8" t="s">
        <v>146</v>
      </c>
      <c r="F108" s="8" t="s">
        <v>147</v>
      </c>
      <c r="G108" s="8" t="s">
        <v>72</v>
      </c>
      <c r="H108" s="9"/>
      <c r="I108" s="9">
        <v>1610</v>
      </c>
      <c r="J108" s="9" t="s">
        <v>78</v>
      </c>
      <c r="K108" s="9"/>
      <c r="L108" s="8" t="s">
        <v>141</v>
      </c>
      <c r="M108" s="8" t="s">
        <v>121</v>
      </c>
      <c r="N108" s="8" t="s">
        <v>107</v>
      </c>
    </row>
    <row r="109" spans="1:14" x14ac:dyDescent="0.3">
      <c r="A109" s="7">
        <v>46244</v>
      </c>
      <c r="B109" s="8" t="s">
        <v>105</v>
      </c>
      <c r="C109" s="8" t="s">
        <v>148</v>
      </c>
      <c r="D109" s="8" t="s">
        <v>41</v>
      </c>
      <c r="E109" s="8" t="s">
        <v>146</v>
      </c>
      <c r="F109" s="8" t="s">
        <v>147</v>
      </c>
      <c r="G109" s="8" t="s">
        <v>72</v>
      </c>
      <c r="H109" s="9"/>
      <c r="I109" s="9">
        <v>1490</v>
      </c>
      <c r="J109" s="9"/>
      <c r="K109" s="9"/>
      <c r="L109" s="8" t="s">
        <v>141</v>
      </c>
      <c r="M109" s="8" t="s">
        <v>121</v>
      </c>
      <c r="N109" s="8" t="s">
        <v>107</v>
      </c>
    </row>
    <row r="110" spans="1:14" x14ac:dyDescent="0.3">
      <c r="A110" s="7">
        <v>46244</v>
      </c>
      <c r="B110" s="8" t="s">
        <v>149</v>
      </c>
      <c r="C110" s="8"/>
      <c r="D110" s="8" t="s">
        <v>103</v>
      </c>
      <c r="E110" s="8" t="s">
        <v>146</v>
      </c>
      <c r="F110" s="8" t="s">
        <v>77</v>
      </c>
      <c r="G110" s="8" t="s">
        <v>144</v>
      </c>
      <c r="H110" s="9"/>
      <c r="I110" s="9">
        <v>1270</v>
      </c>
      <c r="J110" s="9"/>
      <c r="K110" s="9"/>
      <c r="L110" s="8" t="s">
        <v>141</v>
      </c>
      <c r="M110" s="8" t="s">
        <v>121</v>
      </c>
      <c r="N110" s="8" t="s">
        <v>107</v>
      </c>
    </row>
    <row r="111" spans="1:14" x14ac:dyDescent="0.3">
      <c r="A111" s="7">
        <v>46244</v>
      </c>
      <c r="B111" s="8" t="s">
        <v>96</v>
      </c>
      <c r="C111" s="8" t="s">
        <v>78</v>
      </c>
      <c r="D111" s="8" t="s">
        <v>56</v>
      </c>
      <c r="E111" s="8" t="s">
        <v>146</v>
      </c>
      <c r="F111" s="8" t="s">
        <v>77</v>
      </c>
      <c r="G111" s="8" t="s">
        <v>72</v>
      </c>
      <c r="H111" s="9"/>
      <c r="I111" s="9">
        <v>511</v>
      </c>
      <c r="J111" s="9"/>
      <c r="K111" s="9"/>
      <c r="L111" s="8" t="s">
        <v>141</v>
      </c>
      <c r="M111" s="8" t="s">
        <v>121</v>
      </c>
      <c r="N111" s="8" t="s">
        <v>107</v>
      </c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4</vt:i4>
      </vt:variant>
      <vt:variant>
        <vt:lpstr>Іменовані діапазони</vt:lpstr>
      </vt:variant>
      <vt:variant>
        <vt:i4>2</vt:i4>
      </vt:variant>
    </vt:vector>
  </HeadingPairs>
  <TitlesOfParts>
    <vt:vector size="6" baseType="lpstr">
      <vt:lpstr>11.08.2026</vt:lpstr>
      <vt:lpstr>11.08.2026_min_max</vt:lpstr>
      <vt:lpstr>10.08.2026</vt:lpstr>
      <vt:lpstr>10.08.2026_min_max </vt:lpstr>
      <vt:lpstr>'10.08.2026'!OLE_LINK3</vt:lpstr>
      <vt:lpstr>'11.08.2026'!OLE_LINK3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2026-08-11T10:30:01Z</dcterms:modified>
</cp:coreProperties>
</file>